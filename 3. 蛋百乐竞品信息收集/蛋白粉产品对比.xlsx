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o子墨\3. 蛋百乐竞品信息收集\"/>
    </mc:Choice>
  </mc:AlternateContent>
  <xr:revisionPtr revIDLastSave="0" documentId="13_ncr:1_{770C8480-D4D5-48AC-B63B-BCF765CE39A5}" xr6:coauthVersionLast="47" xr6:coauthVersionMax="47" xr10:uidLastSave="{00000000-0000-0000-0000-000000000000}"/>
  <bookViews>
    <workbookView xWindow="-120" yWindow="-120" windowWidth="29040" windowHeight="15720" activeTab="2" xr2:uid="{00000000-000D-0000-FFFF-FFFF00000000}"/>
  </bookViews>
  <sheets>
    <sheet name="总结建议" sheetId="3" r:id="rId1"/>
    <sheet name="市售产品" sheetId="1" r:id="rId2"/>
    <sheet name="营养成分对比"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8" i="2" l="1"/>
  <c r="I24" i="1"/>
  <c r="J17" i="2"/>
  <c r="P9" i="1" l="1"/>
  <c r="M9" i="1"/>
  <c r="J18" i="2" s="1"/>
  <c r="J9" i="1"/>
  <c r="J8" i="2" s="1"/>
  <c r="I25" i="1"/>
  <c r="J25" i="1" s="1"/>
  <c r="L25" i="1" s="1"/>
  <c r="J24" i="1"/>
  <c r="L24" i="1" s="1"/>
  <c r="P25" i="1"/>
  <c r="O24" i="1"/>
  <c r="N23" i="1"/>
  <c r="P23" i="1" s="1"/>
  <c r="M23" i="1"/>
  <c r="O23" i="1" s="1"/>
  <c r="N21" i="1"/>
  <c r="P21" i="1" s="1"/>
  <c r="M21" i="1"/>
  <c r="O21" i="1" s="1"/>
  <c r="N20" i="1"/>
  <c r="P20" i="1" s="1"/>
  <c r="M20" i="1"/>
  <c r="O20" i="1" s="1"/>
  <c r="U17" i="2"/>
  <c r="N19" i="1" s="1"/>
  <c r="P19" i="1" s="1"/>
  <c r="I21" i="1"/>
  <c r="J21" i="1" s="1"/>
  <c r="L21" i="1" s="1"/>
  <c r="I20" i="1"/>
  <c r="J20" i="1" s="1"/>
  <c r="L20" i="1" s="1"/>
  <c r="I19" i="1"/>
  <c r="J19" i="1" s="1"/>
  <c r="L19" i="1" s="1"/>
  <c r="I23" i="1"/>
  <c r="J23" i="1" s="1"/>
  <c r="L23" i="1" s="1"/>
  <c r="I22" i="1"/>
  <c r="J22" i="1"/>
  <c r="L22" i="1" s="1"/>
  <c r="Y7" i="2"/>
  <c r="U18" i="2"/>
  <c r="M19" i="1" s="1"/>
  <c r="O19" i="1" s="1"/>
  <c r="J5" i="1"/>
  <c r="L5" i="1" s="1"/>
  <c r="J4" i="1"/>
  <c r="L4" i="1" s="1"/>
  <c r="J3" i="1"/>
  <c r="L3" i="1" s="1"/>
  <c r="AD14" i="2"/>
  <c r="AD13" i="2"/>
  <c r="AD26" i="2"/>
  <c r="AD25" i="2"/>
  <c r="AD21" i="2"/>
  <c r="AD23" i="2"/>
  <c r="AD24" i="2"/>
  <c r="AD22" i="2"/>
  <c r="AD17" i="2"/>
  <c r="AD18" i="2"/>
  <c r="AD19" i="2"/>
  <c r="AD20" i="2"/>
  <c r="AD12" i="2"/>
  <c r="AD15" i="2"/>
  <c r="AD16" i="2"/>
  <c r="AD11" i="2"/>
  <c r="J6" i="1"/>
  <c r="F7" i="2" s="1"/>
  <c r="J7" i="1"/>
  <c r="L7" i="1" s="1"/>
  <c r="J8" i="1"/>
  <c r="L8" i="1" s="1"/>
  <c r="J10" i="1"/>
  <c r="L10" i="1"/>
  <c r="J11" i="1"/>
  <c r="I11" i="1" s="1"/>
  <c r="J12" i="1"/>
  <c r="L12" i="1"/>
  <c r="L13" i="1"/>
  <c r="J14" i="1"/>
  <c r="L14" i="1" s="1"/>
  <c r="J15" i="1"/>
  <c r="I15" i="1" s="1"/>
  <c r="L15" i="1"/>
  <c r="J16" i="1"/>
  <c r="L16" i="1" s="1"/>
  <c r="L17" i="1"/>
  <c r="L18" i="1"/>
  <c r="AE8" i="2"/>
  <c r="N7" i="2"/>
  <c r="I12" i="1"/>
  <c r="L7" i="2"/>
  <c r="I10" i="1"/>
  <c r="P7" i="2"/>
  <c r="I14" i="1"/>
  <c r="F8" i="2"/>
  <c r="I4" i="1"/>
  <c r="H7" i="2"/>
  <c r="I8" i="1" l="1"/>
  <c r="I16" i="1"/>
  <c r="I3" i="1"/>
  <c r="I9" i="1"/>
  <c r="O9" i="1"/>
  <c r="R7" i="2"/>
  <c r="Q7" i="2"/>
  <c r="L9" i="1"/>
  <c r="B8" i="2"/>
  <c r="B7" i="2"/>
  <c r="I7" i="1"/>
  <c r="M7" i="2"/>
  <c r="L11" i="1"/>
  <c r="L6" i="1"/>
  <c r="I5" i="1"/>
  <c r="L26" i="1"/>
  <c r="I6" i="1"/>
  <c r="O25" i="1"/>
  <c r="P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Jingjing Deng</author>
  </authors>
  <commentList>
    <comment ref="H9" authorId="0" shapeId="0" xr:uid="{0481AB18-92EF-417A-B103-12031B0F6797}">
      <text>
        <r>
          <rPr>
            <b/>
            <sz val="9"/>
            <color indexed="81"/>
            <rFont val="Tahoma"/>
            <family val="2"/>
          </rPr>
          <t>Jingjing Deng:</t>
        </r>
        <r>
          <rPr>
            <sz val="9"/>
            <color indexed="81"/>
            <rFont val="Tahoma"/>
            <family val="2"/>
          </rPr>
          <t xml:space="preserve">
江苏挂网价</t>
        </r>
      </text>
    </comment>
    <comment ref="M24" authorId="0" shapeId="0" xr:uid="{C7EE558A-EE07-4B0B-91AA-7D4EFCB2E876}">
      <text>
        <r>
          <rPr>
            <b/>
            <sz val="9"/>
            <color indexed="81"/>
            <rFont val="Tahoma"/>
            <family val="2"/>
          </rPr>
          <t>Jingjing Deng:</t>
        </r>
        <r>
          <rPr>
            <sz val="9"/>
            <color indexed="81"/>
            <rFont val="Tahoma"/>
            <family val="2"/>
          </rPr>
          <t xml:space="preserve">
检测值80%标识</t>
        </r>
      </text>
    </comment>
    <comment ref="M25" authorId="0" shapeId="0" xr:uid="{49ABC1ED-EA75-425C-88E4-9CB3365677D9}">
      <text>
        <r>
          <rPr>
            <b/>
            <sz val="9"/>
            <color indexed="81"/>
            <rFont val="Tahoma"/>
            <family val="2"/>
          </rPr>
          <t>Jingjing Deng:</t>
        </r>
        <r>
          <rPr>
            <sz val="9"/>
            <color indexed="81"/>
            <rFont val="Tahoma"/>
            <family val="2"/>
          </rPr>
          <t xml:space="preserve">
检测值平均值标识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Jingjing Deng</author>
  </authors>
  <commentList>
    <comment ref="AE8" authorId="0" shapeId="0" xr:uid="{5DA57E95-70BF-457F-A22E-2B32F608976F}">
      <text>
        <r>
          <rPr>
            <b/>
            <sz val="9"/>
            <color indexed="81"/>
            <rFont val="Tahoma"/>
            <family val="2"/>
          </rPr>
          <t>Jingjing Deng:</t>
        </r>
        <r>
          <rPr>
            <sz val="9"/>
            <color indexed="81"/>
            <rFont val="Tahoma"/>
            <family val="2"/>
          </rPr>
          <t xml:space="preserve">
50*40mL，71.40€
30*40mL，43.23€</t>
        </r>
      </text>
    </comment>
  </commentList>
</comments>
</file>

<file path=xl/sharedStrings.xml><?xml version="1.0" encoding="utf-8"?>
<sst xmlns="http://schemas.openxmlformats.org/spreadsheetml/2006/main" count="541" uniqueCount="360">
  <si>
    <t>产品名称</t>
  </si>
  <si>
    <t>企业名称</t>
  </si>
  <si>
    <t>适用人群</t>
  </si>
  <si>
    <t>浙江海正甦力康生物科技有限公司</t>
  </si>
  <si>
    <t xml:space="preserve">10岁以上特定疾病或医学状况下需要补充蛋白质的人群。 </t>
  </si>
  <si>
    <t>已获批蛋白质（氨基酸）组件</t>
  </si>
  <si>
    <t>湖南九典制药股份有限公司</t>
  </si>
  <si>
    <t>规格</t>
  </si>
  <si>
    <t>280g/罐</t>
  </si>
  <si>
    <t>老人成人术后补充</t>
  </si>
  <si>
    <t>240g/盒（20g*12袋）</t>
  </si>
  <si>
    <t>伊能佳</t>
  </si>
  <si>
    <t>普柔汀</t>
  </si>
  <si>
    <t>浦索</t>
  </si>
  <si>
    <t>冬泽定</t>
  </si>
  <si>
    <t>限制氨基酸评分</t>
  </si>
  <si>
    <t>每100g</t>
  </si>
  <si>
    <t>每100kJ</t>
  </si>
  <si>
    <t>能量（kJ）</t>
  </si>
  <si>
    <t>蛋白质（g）</t>
  </si>
  <si>
    <t>脂肪（g）</t>
  </si>
  <si>
    <t>碳水化合物（g）</t>
  </si>
  <si>
    <t>钠（mg）</t>
  </si>
  <si>
    <t>钾（mg）</t>
  </si>
  <si>
    <t>配料</t>
  </si>
  <si>
    <t>标准冲调</t>
  </si>
  <si>
    <t>150mL温开水+20g</t>
  </si>
  <si>
    <t>144g/盒（12g*12袋）</t>
  </si>
  <si>
    <t>浓缩乳清蛋白粉、大豆分离蛋白、瓜尔胶、罗汉果甜苷</t>
  </si>
  <si>
    <t>60mL温开水（低于40℃）+12g</t>
  </si>
  <si>
    <t>90mOsm/L</t>
  </si>
  <si>
    <t>标准冲调液渗透压</t>
  </si>
  <si>
    <t>保质期</t>
  </si>
  <si>
    <t>12个月</t>
  </si>
  <si>
    <t>蛋白质供能比</t>
  </si>
  <si>
    <t>乳糖</t>
  </si>
  <si>
    <t>2.2-6.8g</t>
  </si>
  <si>
    <t>51~61mOsm/kg</t>
  </si>
  <si>
    <t>分离乳清蛋白粉、酪蛋白酸钙、食用香精、磷脂、三氯蔗糖</t>
  </si>
  <si>
    <t>75mOsmol/kg</t>
  </si>
  <si>
    <t>磷（mg）</t>
  </si>
  <si>
    <t>钙（mg）</t>
  </si>
  <si>
    <t>脂肪供能比</t>
  </si>
  <si>
    <t>碳水化合物供能比</t>
  </si>
  <si>
    <t>乳清蛋白粉、大豆分离蛋白</t>
  </si>
  <si>
    <t>24个月</t>
  </si>
  <si>
    <t>225g/盒（7.5g*30袋）</t>
  </si>
  <si>
    <t>目标人群及使用场景推广</t>
  </si>
  <si>
    <t>60mL温开水（40-45℃）+7.5g</t>
  </si>
  <si>
    <t>45mOsmol/kg</t>
  </si>
  <si>
    <t>135g/盒（7.5g*18袋）</t>
  </si>
  <si>
    <t>180g/盒（15g*12袋）</t>
  </si>
  <si>
    <t>大陆流通身份</t>
  </si>
  <si>
    <t>官方建议零售价（元）</t>
  </si>
  <si>
    <t>水解乳清蛋白粉、大豆肽粉、食用香精、甜菊糖苷、三氯蔗糖</t>
  </si>
  <si>
    <t>每100g价格</t>
  </si>
  <si>
    <t>每日推荐摄入量</t>
  </si>
  <si>
    <t>根据适用人群年龄、体重和医学状况等综合确定</t>
  </si>
  <si>
    <t>在医生或临床营养师指导下根据适用人群个体情况或医学状况综合确定</t>
  </si>
  <si>
    <t>康比特</t>
  </si>
  <si>
    <t>汤臣倍健</t>
  </si>
  <si>
    <t>安利</t>
  </si>
  <si>
    <t>固体饮料</t>
  </si>
  <si>
    <t>北京康比特体育科技股份有限公司</t>
  </si>
  <si>
    <t>跨境</t>
  </si>
  <si>
    <t>MYPROTEIN</t>
  </si>
  <si>
    <t>浓缩乳清蛋白（牛奶）、乳化剂（大豆卵磷脂，向日葵卵磷脂）</t>
  </si>
  <si>
    <t>2.5kg/袋</t>
  </si>
  <si>
    <t>健身人士</t>
  </si>
  <si>
    <t>保健食品</t>
  </si>
  <si>
    <t>免疫力低下人群</t>
  </si>
  <si>
    <t>浓缩乳清蛋白、分离乳清蛋白粉、酵母β-葡聚糖</t>
  </si>
  <si>
    <t>60mL温开水+10g（1勺）</t>
  </si>
  <si>
    <t>保健食品注册</t>
  </si>
  <si>
    <t>亚健康人群、手术后痊愈者、中老年人群</t>
  </si>
  <si>
    <t>400g/罐</t>
  </si>
  <si>
    <r>
      <t>浓缩乳清蛋白、分离乳清蛋白粉、</t>
    </r>
    <r>
      <rPr>
        <b/>
        <sz val="10"/>
        <color rgb="FFFF0000"/>
        <rFont val="微软雅黑"/>
        <family val="2"/>
        <charset val="134"/>
      </rPr>
      <t>酵母β-葡聚糖</t>
    </r>
  </si>
  <si>
    <t>1次（10g）</t>
  </si>
  <si>
    <t>1次（30g）</t>
  </si>
  <si>
    <t>180mL水或牛奶+30g（2勺）</t>
  </si>
  <si>
    <t>CPTpro®乳清蛋白混合粉（浓缩乳清蛋白、维生素D、黑胡椒提取物）、脱脂风味酸乳发酵粉、磷酸三钙、牛磺酸、灭活型乳酸菌粉（植物乳植杆菌、副干酪乳酪杆菌、罗伊氏粘液乳杆菌、鼠李糖乳酪杆菌、发酵粘液乳杆菌）、硫酸锌、维生素A、维生素B1、维生素B2、维生素B6、黄原胶、安赛蜜、柠檬酸、阿斯巴甜（含苯丙氨酸）、食品用香精</t>
  </si>
  <si>
    <t>300g/瓶</t>
  </si>
  <si>
    <t>训练没精神、身体瘦弱</t>
  </si>
  <si>
    <t>450g/罐</t>
  </si>
  <si>
    <t>150-250mL水或牛奶+25g（1勺）</t>
  </si>
  <si>
    <t>18个月</t>
  </si>
  <si>
    <t>1次（25g）</t>
  </si>
  <si>
    <t>450g/罐+150g/罐</t>
  </si>
  <si>
    <t>保健功能：增强免疫力</t>
  </si>
  <si>
    <t>亚健康人群、银发族、术后营养</t>
  </si>
  <si>
    <t>汤臣倍健股份有限公司</t>
  </si>
  <si>
    <t>大豆分离蛋白、浓缩乳清蛋白、大豆磷脂</t>
  </si>
  <si>
    <t>安利(中国)日用品有限公司官方</t>
  </si>
  <si>
    <t>免疫力低下者、易疲劳者</t>
  </si>
  <si>
    <t>大豆分离蛋白（大豆分离蛋白、磷脂）、小麦蛋白、豌豆蛋白</t>
  </si>
  <si>
    <t>770g/瓶</t>
  </si>
  <si>
    <t>工作压力大、疲惫、超负荷人群</t>
  </si>
  <si>
    <t>加入水或牛奶</t>
  </si>
  <si>
    <t>合生元（长沙）营养食品有限公司</t>
  </si>
  <si>
    <t>需要补充蛋白质的各类人群</t>
  </si>
  <si>
    <t>健身爱好者：减控雕塑线条、日常蛋白补充、日常运动</t>
  </si>
  <si>
    <t>独立女性：运动女性、白领女性、追求好状态女性</t>
  </si>
  <si>
    <t>浓缩乳清蛋白粉（浓缩乳清蛋白、磷脂）、香草香精</t>
  </si>
  <si>
    <t>1-2次</t>
  </si>
  <si>
    <t>100-150mL水或牛奶+1勺</t>
  </si>
  <si>
    <t>康比特酸奶乳清</t>
  </si>
  <si>
    <t>β-葡聚糖（g）</t>
  </si>
  <si>
    <t>FSMP</t>
  </si>
  <si>
    <t>普通食品</t>
  </si>
  <si>
    <t>维生素A（μgRE）</t>
  </si>
  <si>
    <t>维生素D（μg）</t>
  </si>
  <si>
    <t>维生素B1（mg）</t>
  </si>
  <si>
    <t>维生素B2（mg）</t>
  </si>
  <si>
    <t>维生素B6（mg）</t>
  </si>
  <si>
    <t>锌（mg）</t>
  </si>
  <si>
    <t>牛磺酸（g）</t>
  </si>
  <si>
    <t>配料表</t>
  </si>
  <si>
    <t>营养成分</t>
  </si>
  <si>
    <t>10岁以上特定疾病或医学状况下需要补充蛋白质的人群-老人成人术后补充</t>
  </si>
  <si>
    <t>适用/目标人群</t>
  </si>
  <si>
    <t>免疫力低下人群-亚健康人群、手术后痊愈者、中老年人群</t>
  </si>
  <si>
    <t>健身人士：训练没精神、身体瘦弱</t>
  </si>
  <si>
    <t>免疫力低下人群
透析患者→术后康复→中老年人群→健身人群</t>
  </si>
  <si>
    <t>价格（元）-罐装</t>
  </si>
  <si>
    <t>价格（元）-条装</t>
  </si>
  <si>
    <t>优势</t>
  </si>
  <si>
    <t>劣势</t>
  </si>
  <si>
    <t>院采不受限</t>
  </si>
  <si>
    <t>院采受限</t>
  </si>
  <si>
    <t>FSMP蛋白组件</t>
  </si>
  <si>
    <t>保健食品蛋白粉</t>
  </si>
  <si>
    <t>普通食品蛋白粉</t>
  </si>
  <si>
    <t>医务渠道流通</t>
  </si>
  <si>
    <t>目标人群</t>
  </si>
  <si>
    <t>特定疾病或医学状况下需要补充蛋白质</t>
  </si>
  <si>
    <t>产品宣称</t>
  </si>
  <si>
    <t>提高免疫力</t>
  </si>
  <si>
    <t>补充蛋白质</t>
  </si>
  <si>
    <t>给疾病人群补充蛋白质</t>
  </si>
  <si>
    <t>竞品数量</t>
  </si>
  <si>
    <t>少</t>
  </si>
  <si>
    <t>多</t>
  </si>
  <si>
    <t>应用场景</t>
  </si>
  <si>
    <t>健身爱好者、白领女性等</t>
  </si>
  <si>
    <t>FSMP注册难，时间长</t>
  </si>
  <si>
    <t>FK现状</t>
  </si>
  <si>
    <t>可立即引入</t>
  </si>
  <si>
    <t>需评估，比FSMP快</t>
  </si>
  <si>
    <t>BUN推广Fresubin PROTEIN（保健食品）SWOT分析</t>
  </si>
  <si>
    <t>透析患者</t>
  </si>
  <si>
    <t>中老年人群</t>
  </si>
  <si>
    <t>健身人群</t>
  </si>
  <si>
    <t>人群需求</t>
  </si>
  <si>
    <t>推广点</t>
  </si>
  <si>
    <t>推广方式</t>
  </si>
  <si>
    <t>1. 蛋白质市场成熟，教育成本低；
2. 蛋白粉需求量大，人群多；
3. 蛋白粉长期、大量消耗人群之一——健身人士，
逐渐关注肾脏健康；中老年人群，同样关注肾脏健康；
4. FK当前覆盖的透析患者，有汤臣倍健蛋白粉消费倾
向，可直接转化；
5. 从透析患者入手，品牌定位从“透析患者适用”
到“透析病人严选”，进行阶梯式推广，目标人群以
“透析患者”为起点，逐步扩大到“中老年人群”和
“健身人群”。</t>
  </si>
  <si>
    <t>1. 肾科医务资源丰富；
2. 肾科营养食品推广基础扎实；
3. 透析患者人群精准，可覆盖；
4. 产品蛋白含量（87%）高于康比特、汤臣倍健、
安利纽崔莱等TOP品牌产品；
5. 产品除常规罐装外，设有袋装，较大多罐装保健食
品，方便携带，且2个SKU利于分渠道差异化推广；
6. 蛋白粉+费瑞卡，可实现透析患者蛋白、能量摄入
平衡，有产品组合优势。</t>
  </si>
  <si>
    <t>机会</t>
  </si>
  <si>
    <t>威胁</t>
  </si>
  <si>
    <t>1. 若特定疾病非全营养FSMP蛋白类产品面世，
则医务推广难度增加；
2. 蛋白粉保健品市场竞争激烈，竞品有多年消
费者端推广经验，且与各零售渠道有着良好的
合作基础，远胜于FK；
3. 蛋白粉固体饮料有更丰富的口味，且被允许
添加和标识多种营养素，产品优势更佳。</t>
  </si>
  <si>
    <t>阶梯推广策略</t>
  </si>
  <si>
    <t>加速康复</t>
  </si>
  <si>
    <t>术后患者</t>
  </si>
  <si>
    <t>增强免疫，保持肌肉</t>
  </si>
  <si>
    <t>增长肌肉</t>
  </si>
  <si>
    <t>提升蛋白</t>
  </si>
  <si>
    <t>PROTEIN+费瑞卡，蛋白能量平衡，预防PEW（蛋白能量消耗）</t>
  </si>
  <si>
    <t>100%乳清蛋白，低磷低钾</t>
  </si>
  <si>
    <t>100%乳清蛋白，好消化，好吸收，透析患者严选，肾脏友好</t>
  </si>
  <si>
    <t>100%乳清蛋白，透析患者严选，肾脏友好</t>
  </si>
  <si>
    <t>100%乳清蛋白，好消化，好吸收</t>
  </si>
  <si>
    <t>BUN医务推广</t>
  </si>
  <si>
    <t>BUN+PN/EN/FSMP医务推广</t>
  </si>
  <si>
    <t>电商推广+特渠推广（健身房）</t>
  </si>
  <si>
    <t>电商推广+社区推广</t>
  </si>
  <si>
    <t>优选德瑞太，嫌贵选PROTEIN</t>
  </si>
  <si>
    <t>产品推广组合</t>
  </si>
  <si>
    <t>优选德瑞康，嫌贵选PROTEIN
抢汤臣倍健用户</t>
  </si>
  <si>
    <t>产品升级策略</t>
  </si>
  <si>
    <t>配方</t>
  </si>
  <si>
    <t>PROTEIN+胆碱+肌醇+牛磺酸+左旋肉碱….-磷-钾</t>
  </si>
  <si>
    <t>PROTEIN+胆碱+肌醇+牛磺酸+左旋肉碱….-磷-钾+钙【高钙版】</t>
  </si>
  <si>
    <t>PROTEIN+胆碱+肌醇+牛磺酸+左旋肉碱….-磷-钾+钙+益生菌【胃肠道舒适版】</t>
  </si>
  <si>
    <t>特医食品/保健食品</t>
  </si>
  <si>
    <t>保健食品/普通食品</t>
  </si>
  <si>
    <t>普通食品-运动食品</t>
  </si>
  <si>
    <t>PROTEIN+胆碱+肌醇+牛磺酸+左旋肉碱….-磷-钾+氨糖【软骨呵护版】</t>
  </si>
  <si>
    <t>透析、术后患者需与医学沟通确认，普通食品配方建议原则为：特医食品/保健食品基础配方+特殊营养素</t>
  </si>
  <si>
    <t>产品身份</t>
  </si>
  <si>
    <t>1. 产品同质化严重，无明显特性区分，配方
需按起始目标人群-透析患者需求做特殊调整；
2. 产品开发速度跟不上阶梯推广需求；
3. 营养食品推广代表精力有限，很难完美兼顾
处方药、食品、保健食品、特医的同步推广；
4. 现有商务体系不适配保健食品渠道铺货及
价格维护，有巨大的价格管理挑战；
5. 线下终端（药店、商超）是蛋白粉类保健食
品有利的推广渠道之一，现有销售团队缺乏有
效的、系统的终端合作模式；
6. 线上终端（传统电商、外卖平台）是蛋白粉
类保健食品有利的推广渠道之一，现有市场销
售人员配置无法利用平台营销；</t>
  </si>
  <si>
    <t>每1g价格</t>
  </si>
  <si>
    <t>膳食纤维</t>
  </si>
  <si>
    <t>分离乳清蛋白粉，鹰嘴豆粉</t>
  </si>
  <si>
    <t>ProtiMedic AMINO Plus</t>
  </si>
  <si>
    <t>每40mL</t>
  </si>
  <si>
    <t>无麸质（谷蛋白）</t>
  </si>
  <si>
    <t>由于年龄导致的肌肉量下降，康复，肌肉减少症，癌症，心力衰竭，慢性阻塞性肺病，肝功能衰竭，严重疾病，伤口和压疮以及术前和术后人群，适用于成人及3岁以上儿童</t>
  </si>
  <si>
    <t>每100mL</t>
  </si>
  <si>
    <t>能量（kcal）</t>
  </si>
  <si>
    <t>＜0.1</t>
  </si>
  <si>
    <t>镁（mg）</t>
  </si>
  <si>
    <t>渗透压（mOsmol/l）</t>
  </si>
  <si>
    <t>水，水解胶原蛋白，分离乳清蛋白（牛奶），
L·异亮氨酸，L·亮氨酸，L·缬氨酸，L·甲硫氨酸，L·苯丙氨酸，L·色氨酸，L·半胱氨酸盐酸水合物，L·组氨酸盐酸水合物，L·赖氨酸氯化水合物，酸度调节剂（柠檬酸，磷酸，苹果酸），调味剂，甜味剂（三氯蔗糖，acesulfame-K），单双甘油脂肪酸，防腐剂（山梨酸钾，苯甲酸钠）
胶原蛋白是载体，可以将20g蛋白质浓缩在40mL液体中。添加乳清蛋白，是因为其是优质蛋白来源，含有必须氨基酸。添加氨基酸是为了调整终产品的氨基酸组成（弥补胶原蛋白中较低的氨基酸缺口），确保终产品符合WHO推荐的氨基酸摄入完整性。</t>
  </si>
  <si>
    <t>160（54）</t>
  </si>
  <si>
    <t>13.1（7）</t>
  </si>
  <si>
    <t>考尔夫</t>
    <phoneticPr fontId="9" type="noConversion"/>
  </si>
  <si>
    <t>乐析能</t>
    <phoneticPr fontId="9" type="noConversion"/>
  </si>
  <si>
    <t>北京康百世科技发展有限公司</t>
    <phoneticPr fontId="9" type="noConversion"/>
  </si>
  <si>
    <t>500g/罐</t>
    <phoneticPr fontId="9" type="noConversion"/>
  </si>
  <si>
    <t>24个月</t>
    <phoneticPr fontId="9" type="noConversion"/>
  </si>
  <si>
    <t>2次（20g）</t>
    <phoneticPr fontId="9" type="noConversion"/>
  </si>
  <si>
    <t>200mL温开水（40℃左右）+10g（1勺）</t>
    <phoneticPr fontId="9" type="noConversion"/>
  </si>
  <si>
    <t>50ml适量温开水（40℃左右）或温牛奶或果汁+10g（1勺）</t>
    <phoneticPr fontId="9" type="noConversion"/>
  </si>
  <si>
    <t>分离乳清蛋白粉、鹰嘴豆粉</t>
    <phoneticPr fontId="9" type="noConversion"/>
  </si>
  <si>
    <t>成人、中老年人</t>
    <phoneticPr fontId="9" type="noConversion"/>
  </si>
  <si>
    <t>需要补充蛋白质的各类人群</t>
    <phoneticPr fontId="9" type="noConversion"/>
  </si>
  <si>
    <t>500g/罐（20g*25袋）</t>
    <phoneticPr fontId="9" type="noConversion"/>
  </si>
  <si>
    <t>体质弱、中老年、运动健身、需高蛋白控水控磷人群、儿童和青少年</t>
    <phoneticPr fontId="9" type="noConversion"/>
  </si>
  <si>
    <t>分离乳清蛋白</t>
    <phoneticPr fontId="9" type="noConversion"/>
  </si>
  <si>
    <t>100mL温开水（40-45℃）+15g</t>
    <phoneticPr fontId="9" type="noConversion"/>
  </si>
  <si>
    <t>50ml温水（55-60℃）+1袋</t>
    <phoneticPr fontId="9" type="noConversion"/>
  </si>
  <si>
    <t>18个月</t>
    <phoneticPr fontId="9" type="noConversion"/>
  </si>
  <si>
    <t>1次（1-2袋/20-40g）</t>
    <phoneticPr fontId="9" type="noConversion"/>
  </si>
  <si>
    <t>240g/盒（20g*12袋）</t>
    <phoneticPr fontId="9" type="noConversion"/>
  </si>
  <si>
    <t>术后恢复、中老年人、透友人群以及进食受限，消化吸收障碍，代谢紊乱需要补充营养的人群</t>
    <phoneticPr fontId="9" type="noConversion"/>
  </si>
  <si>
    <t>50-60ml温水（60℃）+20g（1包）</t>
    <phoneticPr fontId="9" type="noConversion"/>
  </si>
  <si>
    <t>2次（2袋40g）</t>
    <phoneticPr fontId="9" type="noConversion"/>
  </si>
  <si>
    <t>谱元素分离乳清蛋白粉</t>
    <phoneticPr fontId="9" type="noConversion"/>
  </si>
  <si>
    <t>Swisse</t>
    <phoneticPr fontId="9" type="noConversion"/>
  </si>
  <si>
    <t>纽特舒玛</t>
    <phoneticPr fontId="9" type="noConversion"/>
  </si>
  <si>
    <t>464g/罐</t>
    <phoneticPr fontId="9" type="noConversion"/>
  </si>
  <si>
    <t>术后、化疗、肠胃脆弱、身体弱、糖友</t>
    <phoneticPr fontId="9" type="noConversion"/>
  </si>
  <si>
    <t>分离乳清蛋白粉、磷脂</t>
  </si>
  <si>
    <t>分离乳清蛋白粉、磷脂</t>
    <phoneticPr fontId="9" type="noConversion"/>
  </si>
  <si>
    <t>200ml温水（≤30℃）+23.2g(1勺)</t>
    <phoneticPr fontId="9" type="noConversion"/>
  </si>
  <si>
    <t>36个月</t>
    <phoneticPr fontId="9" type="noConversion"/>
  </si>
  <si>
    <t>肾病透析专用蛋白粉</t>
    <phoneticPr fontId="9" type="noConversion"/>
  </si>
  <si>
    <t>180g/盒</t>
    <phoneticPr fontId="9" type="noConversion"/>
  </si>
  <si>
    <r>
      <t>分离乳清蛋白粉,低聚异麦芽糖(0.5g/袋),麦芽糊精,大豆肤粉,低聚果糖(0.2g/袋),维生素B</t>
    </r>
    <r>
      <rPr>
        <vertAlign val="subscript"/>
        <sz val="10"/>
        <color theme="1"/>
        <rFont val="微软雅黑"/>
        <family val="2"/>
        <charset val="134"/>
      </rPr>
      <t>6</t>
    </r>
    <r>
      <rPr>
        <sz val="10"/>
        <color theme="1"/>
        <rFont val="微软雅黑"/>
        <family val="2"/>
        <charset val="134"/>
      </rPr>
      <t>,中链甘油三醋微囊粉 (固体饮料),苹果西袖粉,食品用香精，二氧化硅,干酪乳酪杆菌(灭活型)</t>
    </r>
    <phoneticPr fontId="9" type="noConversion"/>
  </si>
  <si>
    <t>30ml-100ml温水+1袋（10g）</t>
    <phoneticPr fontId="9" type="noConversion"/>
  </si>
  <si>
    <t>1-3次</t>
    <phoneticPr fontId="9" type="noConversion"/>
  </si>
  <si>
    <t>分离乳清蛋白粉,低聚异麦芽糖(0.5g/袋),麦芽糊精,大豆肤粉,低聚果糖(0.2g/袋),维生素B6,中链甘油三醋微囊粉 (固体饮料),苹果西袖粉,食品用香精，二氧化硅,干酪乳酪杆菌(灭活型)</t>
    <phoneticPr fontId="9" type="noConversion"/>
  </si>
  <si>
    <t>透析、体质弱亚健康等需优质蛋白补充人群、围手术期、限钾限磷</t>
    <phoneticPr fontId="9" type="noConversion"/>
  </si>
  <si>
    <t>200g/盒</t>
    <phoneticPr fontId="9" type="noConversion"/>
  </si>
  <si>
    <t>30-50ml温水（40-60℃）+1袋（10g）</t>
    <phoneticPr fontId="9" type="noConversion"/>
  </si>
  <si>
    <t xml:space="preserve">1-4次 </t>
    <phoneticPr fontId="9" type="noConversion"/>
  </si>
  <si>
    <t>肾友透析</t>
    <phoneticPr fontId="9" type="noConversion"/>
  </si>
  <si>
    <t>60ml温水（45℃）+1袋（20g）</t>
    <phoneticPr fontId="9" type="noConversion"/>
  </si>
  <si>
    <t>1-2次</t>
    <phoneticPr fontId="9" type="noConversion"/>
  </si>
  <si>
    <t>肾友透析蛋白粉</t>
    <phoneticPr fontId="9" type="noConversion"/>
  </si>
  <si>
    <t>40-50ml温水（45℃）+1袋（10g）</t>
    <phoneticPr fontId="9" type="noConversion"/>
  </si>
  <si>
    <t>台湾丰世纪股份有限公司</t>
    <phoneticPr fontId="9" type="noConversion"/>
  </si>
  <si>
    <t>Nutrasumma,Inc.</t>
    <phoneticPr fontId="9" type="noConversion"/>
  </si>
  <si>
    <t>仙乐健康科技股份有限公司</t>
    <phoneticPr fontId="9" type="noConversion"/>
  </si>
  <si>
    <t>威海紫光优健科技股份有限公司</t>
    <phoneticPr fontId="9" type="noConversion"/>
  </si>
  <si>
    <t>上海世康特制药有限公司</t>
    <phoneticPr fontId="9" type="noConversion"/>
  </si>
  <si>
    <t>运动员、蛋白质摄入不足者、术前术后患者、老年人、孕产妇、儿童青少年等需要额外补充蛋白质的人群</t>
    <phoneticPr fontId="9" type="noConversion"/>
  </si>
  <si>
    <t>普通食品</t>
    <phoneticPr fontId="9" type="noConversion"/>
  </si>
  <si>
    <t>渠道</t>
    <phoneticPr fontId="9" type="noConversion"/>
  </si>
  <si>
    <t>京东</t>
    <phoneticPr fontId="9" type="noConversion"/>
  </si>
  <si>
    <t>淘宝</t>
    <phoneticPr fontId="9" type="noConversion"/>
  </si>
  <si>
    <t>小红书</t>
    <phoneticPr fontId="9" type="noConversion"/>
  </si>
  <si>
    <t>抖音</t>
    <phoneticPr fontId="9" type="noConversion"/>
  </si>
  <si>
    <t>自营-小程序</t>
    <phoneticPr fontId="9" type="noConversion"/>
  </si>
  <si>
    <t>有</t>
    <phoneticPr fontId="9" type="noConversion"/>
  </si>
  <si>
    <t>吉林麦孚营养科技有限公司长春分公司</t>
    <phoneticPr fontId="9" type="noConversion"/>
  </si>
  <si>
    <t>中恩（天津）医药有限公司</t>
    <phoneticPr fontId="9" type="noConversion"/>
  </si>
  <si>
    <t>广州纽健生物科技有限公司</t>
    <phoneticPr fontId="9" type="noConversion"/>
  </si>
  <si>
    <t>蛋百乐乳清蛋白粉固体饮料</t>
  </si>
  <si>
    <t>北京费森尤斯卡比</t>
  </si>
  <si>
    <t>院内住院人群：院内配制，处方
透析+老年+术后：补充蛋白，增强免疫，加速康复</t>
  </si>
  <si>
    <t>440g/听（11g*40次）</t>
  </si>
  <si>
    <t xml:space="preserve">330g/盒（11g*30袋） </t>
  </si>
  <si>
    <t>医院</t>
  </si>
  <si>
    <t>需要补充蛋白质的各类人群(透析、老年、健身、女性）</t>
  </si>
  <si>
    <t>蛋白纯度</t>
  </si>
  <si>
    <t>每g蛋白价格</t>
  </si>
  <si>
    <t>蛋白粉消费人群(透析、老年、健身、女性）：肌肉增长/修复，提高免疫</t>
  </si>
  <si>
    <t>透析、老年、术后人群</t>
  </si>
  <si>
    <t>1-2袋（11-22g粉,10-20g蛋白）</t>
  </si>
  <si>
    <t>1.5-3勺（11-22g粉,10-20g蛋白）</t>
  </si>
  <si>
    <t>法规宣称</t>
  </si>
  <si>
    <t>无</t>
  </si>
  <si>
    <t>运动员、蛋白质摄入不足者、术前术后患者、老年人、孕产妇、儿童青少年等需要额外补充蛋白质的人群</t>
  </si>
  <si>
    <t>蛋百乐</t>
  </si>
  <si>
    <t>品牌</t>
  </si>
  <si>
    <t>伊能佳®特殊医学用途蛋白质组件配方食品</t>
  </si>
  <si>
    <t>普柔汀®特殊医学用途蛋白质组件配方食品</t>
  </si>
  <si>
    <t>浦索®特殊医学用途蛋白质组件配方粉</t>
  </si>
  <si>
    <t>冬泽定®特殊医学用途蛋白质组件配方食品</t>
  </si>
  <si>
    <t>康比特牌酵母葡聚糖乳清蛋白粉</t>
  </si>
  <si>
    <t>汤臣倍健蛋白粉</t>
  </si>
  <si>
    <t>安利Amway纽崔莱多种植物蛋白粉</t>
  </si>
  <si>
    <t>谱元泰乳清蛋白粉</t>
  </si>
  <si>
    <t>考尔夫透析蛋白粉</t>
  </si>
  <si>
    <t>乐析能透析蛋白粉</t>
  </si>
  <si>
    <t>圣安多蛋白质固体饮料</t>
  </si>
  <si>
    <t>谱元泰</t>
  </si>
  <si>
    <t>考尔夫</t>
  </si>
  <si>
    <t>乐析能</t>
  </si>
  <si>
    <t>圣安多</t>
  </si>
  <si>
    <t>纽崔莱</t>
  </si>
  <si>
    <t>康比特酸奶乳清（CPTpro®）</t>
  </si>
  <si>
    <t>Swisse斯维诗乳清蛋白粉（香草味）</t>
  </si>
  <si>
    <t>Swisse</t>
  </si>
  <si>
    <t>MYPROTEIN IMPACT乳清蛋白粉（原味）</t>
  </si>
  <si>
    <t>析安能</t>
  </si>
  <si>
    <t xml:space="preserve">纽特舒玛分离乳清蛋白质固体饮料营养粉 </t>
  </si>
  <si>
    <t>纽特舒玛</t>
  </si>
  <si>
    <t>威高分离乳清蛋白粉</t>
  </si>
  <si>
    <t>威高</t>
  </si>
  <si>
    <t>析安能乳清蛋白粉固体饮料</t>
  </si>
  <si>
    <t>领透析尔舒乳清蛋白粉固体饮料</t>
  </si>
  <si>
    <t>领透析尔舒</t>
  </si>
  <si>
    <t>维生素E（mg α-TE）</t>
  </si>
  <si>
    <t>维生素B12（μg）</t>
  </si>
  <si>
    <t>叶酸（μg DFE）</t>
  </si>
  <si>
    <t>-反式脂肪（g）</t>
  </si>
  <si>
    <t>无标识</t>
  </si>
  <si>
    <t>-饱和脂肪酸（g）</t>
  </si>
  <si>
    <t>维生素C（mg）</t>
  </si>
  <si>
    <t>泛酸（mg）</t>
  </si>
  <si>
    <t>铁mg）</t>
  </si>
  <si>
    <t>麦芽糊精、葵花籽油粉(麦芽糊精、葵花籽油、单，双甘油脂肪酸酯)、乳清蛋白粉、菜籽油、大豆蛋白、亚麻籽油粉(麦芽糊精、亚麻籽油、单，双甘油脂肪酸酯)、矿物质(磷酸三钙、碳酸钙、磷酸锌)、抗性糊精、菊粉、低聚果糖、中链甘油三酯、大豆磷脂、维生素(dl-α-醋酸生育酚、氰钴胺、叶酸)、食用香料、瓜尔胶、三氯蔗糖</t>
  </si>
  <si>
    <t>脂肪粉(葡萄糖浆、食用植物调和油(葵花籽油、椰子油、玉米油、菜籽油、大豆油、磷脂、混合生育酚浓缩物、抗坏血酸棕榈酸酯)、辛烯基琥珀酸淀粉钠、单，双甘油脂肪酸酯)、麦芽糊精、分离乳清蛋白粉(添加量≥22%)、菊粉(食用量≤15克/天，本品每袋含1克)、抗性糊精、低聚果糖、复合维生素(L-抗坏血酸、醋酸维生素A、维生素D3、dl-α-醋酸生育酚、盐酸硫胺素、盐酸吡哆醇、氰钴胺、D-泛酸钙、叶酸)、复合矿物质(乙二胺四乙酸铁钠、碳酸镁、葡萄糖酸锌)、食用香精</t>
  </si>
  <si>
    <t>烟酸（mg）</t>
  </si>
  <si>
    <t>左旋肉碱（mg）</t>
  </si>
  <si>
    <t>析安能（罐装）</t>
  </si>
  <si>
    <t>析安能（条装）</t>
  </si>
  <si>
    <t>分离乳清蛋白(添加量≥80%)结晶果糖粉。复合维生素(L-抗坏血酸，β-胡萝卜素，烟酸，D-泛酸钙，核黄素，烟酸硫胺素，烟酸吡哆醇，叶酸，牛磺酸)，复合矿物质（硫酸亚铁，葡萄糖酸锌)，食用香精</t>
  </si>
  <si>
    <t>透析全营养粉</t>
  </si>
  <si>
    <t>麦芽糊精、植物油微囊粉(植物油、低聚麦芽糖、辛烯基琥珀酸淀粉钠、二氧化硅、抗坏血酸钠、单，双甘油脂肪酸酯)、分离乳清蛋白粉、低聚果糖、中链甘油三酯微囊粉(中链甘油三酯、低聚麦芽糖、酪蛋白酸钠、单，双甘油脂肪酸酯、二氧化硅、三聚磷酸钠)、水苏糖、异构化乳糖液、鱼油粉(鱼油微胶囊)、复配营养强化剂(碳酸钙、碳酸镁、乙二胺四乙酸铁钠、葡萄糖酸锌)、复配营养强化剂(L-抗坏血酸钠、牛磺酸、dl-α-醋酸生育酚、烟酸、D-泛酸钙、盐酸吡哆醇、核黄素、胆钙化醇、叶酸、氰钴胺、盐酸硫胺素)、三氯蔗糖、β-环状糊精</t>
  </si>
  <si>
    <t>分离乳清蛋白(添加量:9.5g/10g)、结晶果糖、异麦芽酮糖、食品用香精、安赛蜜、胆钙化醇(维生素D3)</t>
  </si>
  <si>
    <t>析尔舒</t>
  </si>
  <si>
    <t>肾友透析蛋白粉</t>
  </si>
  <si>
    <t>威高乳清蛋白粉</t>
  </si>
  <si>
    <t>磷含量mg
/100g</t>
  </si>
  <si>
    <t>钾含量mg
/100g</t>
  </si>
  <si>
    <t>磷含量mg
/100g蛋白</t>
  </si>
  <si>
    <t>钾含量mg
/100g蛋白</t>
  </si>
  <si>
    <t>药店</t>
  </si>
  <si>
    <t>舒畅</t>
  </si>
  <si>
    <t>10岁以上特定疾病或医学状况下需要补充蛋白质的人群-透析患者</t>
  </si>
  <si>
    <t>舒畅®特殊医学用途蛋白质组件配方食品</t>
  </si>
  <si>
    <t>江西人之初乳品营养有限公司</t>
  </si>
  <si>
    <t>10岁以上特定疾病或医学状况下需要补充蛋白质的人群。 
透析患者。</t>
  </si>
  <si>
    <t>192g/盒（12g*16袋）</t>
  </si>
  <si>
    <t>透析人群</t>
  </si>
  <si>
    <t>分离乳清蛋白、酪蛋白</t>
  </si>
  <si>
    <t>60mL+12g</t>
  </si>
  <si>
    <t>有</t>
  </si>
  <si>
    <t>300g/盒（10g*30袋）</t>
  </si>
  <si>
    <t>速溶分离乳清蛋白(乳清、磷脂)、抗性糊精。</t>
  </si>
  <si>
    <t>冬泽力</t>
  </si>
  <si>
    <t>分离乳清蛋白、三氯蔗糖、食品用香精、二氧化硅</t>
  </si>
  <si>
    <t>分离乳清蛋白粉、抗性糊精</t>
  </si>
  <si>
    <t>企业</t>
    <phoneticPr fontId="9" type="noConversion"/>
  </si>
  <si>
    <t>品牌名称</t>
    <phoneticPr fontId="9" type="noConversion"/>
  </si>
  <si>
    <t>企业名称</t>
    <phoneticPr fontId="9" type="noConversion"/>
  </si>
  <si>
    <t>改企业其他在售产品品牌名称</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</si>
</sst>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_ * #,##0_ ;_ * \-#,##0_ ;_ * &quot;-&quot;??_ ;_ @_ "/>
    <numFmt numFmtId="177" formatCode="0.0"/>
    <numFmt numFmtId="178" formatCode="0.0%"/>
  </numFmts>
  <fonts count="11" x14ac:knownFonts="1">
    <font>
      <sz val="11"/>
      <color theme="1"/>
      <name val="等线"/>
      <family val="2"/>
      <scheme val="minor"/>
    </font>
    <font>
      <sz val="10"/>
      <color theme="1"/>
      <name val="微软雅黑"/>
      <family val="2"/>
      <charset val="134"/>
    </font>
    <font>
      <b/>
      <sz val="10"/>
      <color theme="1"/>
      <name val="微软雅黑"/>
      <family val="2"/>
      <charset val="134"/>
    </font>
    <font>
      <sz val="11"/>
      <color theme="1"/>
      <name val="等线"/>
      <family val="2"/>
      <scheme val="minor"/>
    </font>
    <font>
      <b/>
      <sz val="10"/>
      <color rgb="FFFF0000"/>
      <name val="微软雅黑"/>
      <family val="2"/>
      <charset val="134"/>
    </font>
    <font>
      <sz val="10"/>
      <color rgb="FFFF0000"/>
      <name val="微软雅黑"/>
      <family val="2"/>
      <charset val="134"/>
    </font>
    <font>
      <i/>
      <u/>
      <sz val="10"/>
      <color theme="1"/>
      <name val="微软雅黑"/>
      <family val="2"/>
      <charset val="134"/>
    </font>
    <font>
      <sz val="9"/>
      <color indexed="81"/>
      <name val="Tahoma"/>
      <family val="2"/>
    </font>
    <font>
      <b/>
      <sz val="9"/>
      <color indexed="81"/>
      <name val="Tahoma"/>
      <family val="2"/>
    </font>
    <font>
      <sz val="9"/>
      <name val="等线"/>
      <family val="3"/>
      <charset val="134"/>
      <scheme val="minor"/>
    </font>
    <font>
      <vertAlign val="subscript"/>
      <sz val="10"/>
      <color theme="1"/>
      <name val="微软雅黑"/>
      <family val="2"/>
      <charset val="134"/>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39997558519241921"/>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116">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applyAlignment="1">
      <alignment vertical="center"/>
    </xf>
    <xf numFmtId="0" fontId="6" fillId="0" borderId="0" xfId="0" applyFont="1" applyAlignment="1">
      <alignment vertical="center"/>
    </xf>
    <xf numFmtId="0" fontId="2" fillId="0" borderId="8" xfId="0" applyFont="1" applyBorder="1" applyAlignment="1">
      <alignment horizontal="center" vertical="center"/>
    </xf>
    <xf numFmtId="1" fontId="1" fillId="0" borderId="8" xfId="0" applyNumberFormat="1" applyFont="1" applyBorder="1" applyAlignment="1">
      <alignment horizontal="center" vertical="center"/>
    </xf>
    <xf numFmtId="0" fontId="2" fillId="0" borderId="8" xfId="0" applyFont="1" applyBorder="1" applyAlignment="1">
      <alignment vertical="center"/>
    </xf>
    <xf numFmtId="0" fontId="1" fillId="0" borderId="8" xfId="0" applyFont="1" applyBorder="1" applyAlignment="1">
      <alignment vertical="center"/>
    </xf>
    <xf numFmtId="0" fontId="1" fillId="0" borderId="8" xfId="0" applyFont="1" applyBorder="1" applyAlignment="1">
      <alignment horizontal="center" vertical="center" wrapText="1"/>
    </xf>
    <xf numFmtId="0" fontId="2" fillId="2" borderId="8" xfId="0" applyFont="1" applyFill="1" applyBorder="1" applyAlignment="1">
      <alignment horizontal="center" vertical="center"/>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2" borderId="5" xfId="0" applyFont="1" applyFill="1" applyBorder="1" applyAlignment="1">
      <alignment horizontal="center" vertical="center"/>
    </xf>
    <xf numFmtId="177" fontId="1" fillId="0" borderId="8" xfId="0" applyNumberFormat="1" applyFont="1" applyBorder="1" applyAlignment="1">
      <alignment horizontal="center" vertical="center"/>
    </xf>
    <xf numFmtId="9" fontId="1" fillId="0" borderId="8" xfId="2" applyFont="1" applyBorder="1" applyAlignment="1">
      <alignment horizontal="center" vertical="center"/>
    </xf>
    <xf numFmtId="0" fontId="1" fillId="2" borderId="3" xfId="0" applyFont="1" applyFill="1" applyBorder="1" applyAlignment="1">
      <alignment horizontal="center" vertical="center"/>
    </xf>
    <xf numFmtId="9" fontId="1" fillId="2" borderId="3" xfId="2" applyFont="1" applyFill="1" applyBorder="1" applyAlignment="1">
      <alignment horizontal="center" vertical="center"/>
    </xf>
    <xf numFmtId="9" fontId="1" fillId="2" borderId="0" xfId="2" applyFont="1" applyFill="1" applyBorder="1" applyAlignment="1">
      <alignment horizontal="center" vertical="center"/>
    </xf>
    <xf numFmtId="0" fontId="5" fillId="0" borderId="8" xfId="0" applyFont="1" applyBorder="1" applyAlignment="1">
      <alignment horizontal="center" vertical="center"/>
    </xf>
    <xf numFmtId="177" fontId="5" fillId="0" borderId="8" xfId="0" applyNumberFormat="1" applyFont="1" applyBorder="1" applyAlignment="1">
      <alignment horizontal="center" vertical="center"/>
    </xf>
    <xf numFmtId="9" fontId="5" fillId="0" borderId="8" xfId="2" applyFont="1" applyBorder="1" applyAlignment="1">
      <alignment horizontal="center" vertical="center"/>
    </xf>
    <xf numFmtId="0" fontId="2" fillId="0" borderId="8" xfId="0" applyFont="1" applyBorder="1" applyAlignment="1">
      <alignment horizontal="center" vertical="center" wrapText="1"/>
    </xf>
    <xf numFmtId="0" fontId="2" fillId="0" borderId="0" xfId="0" applyFont="1" applyAlignment="1">
      <alignment horizontal="center" vertical="center" wrapText="1"/>
    </xf>
    <xf numFmtId="176" fontId="1" fillId="0" borderId="0" xfId="1" applyNumberFormat="1" applyFont="1" applyFill="1" applyBorder="1" applyAlignment="1">
      <alignment vertical="center" wrapText="1"/>
    </xf>
    <xf numFmtId="43" fontId="1" fillId="0" borderId="0" xfId="1" applyFont="1" applyFill="1" applyBorder="1" applyAlignment="1">
      <alignmen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2" fillId="3" borderId="0" xfId="0" applyFont="1" applyFill="1" applyAlignment="1">
      <alignment horizontal="center" vertical="center" wrapText="1"/>
    </xf>
    <xf numFmtId="0" fontId="1" fillId="3" borderId="0" xfId="0" applyFont="1" applyFill="1" applyAlignment="1">
      <alignment vertical="center" wrapText="1"/>
    </xf>
    <xf numFmtId="177" fontId="1" fillId="2" borderId="3" xfId="0" applyNumberFormat="1" applyFont="1" applyFill="1" applyBorder="1" applyAlignment="1">
      <alignment horizontal="center" vertical="center"/>
    </xf>
    <xf numFmtId="0" fontId="2" fillId="0" borderId="0" xfId="0" applyFont="1" applyAlignment="1">
      <alignment horizontal="left" vertical="center" wrapText="1"/>
    </xf>
    <xf numFmtId="2" fontId="1" fillId="0" borderId="8" xfId="0" applyNumberFormat="1" applyFont="1" applyBorder="1" applyAlignment="1">
      <alignment horizontal="center" vertical="center"/>
    </xf>
    <xf numFmtId="49" fontId="1" fillId="0" borderId="8" xfId="0" applyNumberFormat="1" applyFont="1" applyBorder="1" applyAlignment="1">
      <alignment vertical="center"/>
    </xf>
    <xf numFmtId="178" fontId="1" fillId="0" borderId="0" xfId="2" applyNumberFormat="1" applyFont="1" applyFill="1" applyBorder="1" applyAlignment="1">
      <alignment vertical="center" wrapText="1"/>
    </xf>
    <xf numFmtId="0" fontId="1" fillId="4" borderId="8" xfId="0" applyFont="1" applyFill="1" applyBorder="1" applyAlignment="1">
      <alignment horizontal="center" vertical="center"/>
    </xf>
    <xf numFmtId="1" fontId="1" fillId="4" borderId="8" xfId="0" applyNumberFormat="1" applyFont="1" applyFill="1" applyBorder="1" applyAlignment="1">
      <alignment horizontal="center" vertical="center"/>
    </xf>
    <xf numFmtId="177" fontId="1" fillId="0" borderId="8" xfId="2" applyNumberFormat="1" applyFont="1" applyBorder="1" applyAlignment="1">
      <alignment horizontal="center" vertical="center"/>
    </xf>
    <xf numFmtId="0" fontId="2" fillId="5" borderId="8"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 fillId="5" borderId="8" xfId="0" applyFont="1" applyFill="1" applyBorder="1" applyAlignment="1">
      <alignment horizontal="center" vertical="center"/>
    </xf>
    <xf numFmtId="1" fontId="1" fillId="5" borderId="8" xfId="0" applyNumberFormat="1" applyFont="1" applyFill="1" applyBorder="1" applyAlignment="1">
      <alignment horizontal="center" vertical="center"/>
    </xf>
    <xf numFmtId="0" fontId="1" fillId="5" borderId="8" xfId="0" applyFont="1" applyFill="1" applyBorder="1" applyAlignment="1">
      <alignment horizontal="center" vertical="center"/>
    </xf>
    <xf numFmtId="177" fontId="1" fillId="5" borderId="8" xfId="0" applyNumberFormat="1" applyFont="1" applyFill="1" applyBorder="1" applyAlignment="1">
      <alignment horizontal="center" vertical="center"/>
    </xf>
    <xf numFmtId="9" fontId="1" fillId="5" borderId="8" xfId="2" applyFont="1" applyFill="1" applyBorder="1" applyAlignment="1">
      <alignment horizontal="center" vertical="center"/>
    </xf>
    <xf numFmtId="2" fontId="1" fillId="5" borderId="8" xfId="0" applyNumberFormat="1" applyFont="1" applyFill="1" applyBorder="1" applyAlignment="1">
      <alignment horizontal="center" vertical="center"/>
    </xf>
    <xf numFmtId="0" fontId="2" fillId="6" borderId="8" xfId="0" applyFont="1" applyFill="1" applyBorder="1" applyAlignment="1">
      <alignment horizontal="center" vertical="center" wrapText="1"/>
    </xf>
    <xf numFmtId="0" fontId="2" fillId="6" borderId="8" xfId="0" applyFont="1" applyFill="1" applyBorder="1" applyAlignment="1">
      <alignment horizontal="center" vertical="center"/>
    </xf>
    <xf numFmtId="0" fontId="1" fillId="6" borderId="8" xfId="0" applyFont="1" applyFill="1" applyBorder="1" applyAlignment="1">
      <alignment horizontal="center" vertical="center"/>
    </xf>
    <xf numFmtId="177" fontId="1" fillId="6" borderId="8" xfId="0" applyNumberFormat="1" applyFont="1" applyFill="1" applyBorder="1" applyAlignment="1">
      <alignment horizontal="center" vertical="center"/>
    </xf>
    <xf numFmtId="0" fontId="1" fillId="6" borderId="0" xfId="0" applyFont="1" applyFill="1" applyAlignment="1">
      <alignment horizontal="left" vertical="center" wrapText="1"/>
    </xf>
    <xf numFmtId="0" fontId="4" fillId="0" borderId="0" xfId="0" applyFont="1" applyAlignment="1">
      <alignment horizontal="center" vertical="center" wrapText="1"/>
    </xf>
    <xf numFmtId="176" fontId="4" fillId="0" borderId="0" xfId="1" applyNumberFormat="1" applyFont="1" applyFill="1" applyBorder="1" applyAlignment="1">
      <alignment vertical="center" wrapText="1"/>
    </xf>
    <xf numFmtId="176" fontId="4" fillId="2" borderId="0" xfId="1" applyNumberFormat="1" applyFont="1" applyFill="1" applyBorder="1" applyAlignment="1">
      <alignment vertical="center" wrapText="1"/>
    </xf>
    <xf numFmtId="1" fontId="1" fillId="2" borderId="0" xfId="0" applyNumberFormat="1" applyFont="1" applyFill="1" applyAlignment="1">
      <alignment vertical="center" wrapText="1"/>
    </xf>
    <xf numFmtId="43" fontId="1" fillId="2" borderId="0" xfId="1" applyFont="1" applyFill="1" applyBorder="1" applyAlignment="1">
      <alignment vertical="center" wrapText="1"/>
    </xf>
    <xf numFmtId="176" fontId="1" fillId="2" borderId="0" xfId="1" applyNumberFormat="1" applyFont="1" applyFill="1" applyBorder="1" applyAlignment="1">
      <alignment vertical="center" wrapText="1"/>
    </xf>
    <xf numFmtId="178" fontId="1" fillId="2" borderId="0" xfId="2" applyNumberFormat="1" applyFont="1" applyFill="1" applyBorder="1" applyAlignment="1">
      <alignment vertical="center" wrapText="1"/>
    </xf>
    <xf numFmtId="43" fontId="1" fillId="0" borderId="0" xfId="0" applyNumberFormat="1" applyFont="1" applyAlignment="1">
      <alignment vertical="center" wrapText="1"/>
    </xf>
    <xf numFmtId="0" fontId="1" fillId="7" borderId="0" xfId="0" applyFont="1" applyFill="1" applyAlignment="1">
      <alignment horizontal="left" vertical="center" wrapText="1"/>
    </xf>
    <xf numFmtId="1" fontId="5" fillId="0" borderId="8" xfId="0" applyNumberFormat="1" applyFont="1" applyBorder="1" applyAlignment="1">
      <alignment horizontal="center" vertical="center"/>
    </xf>
    <xf numFmtId="176" fontId="4" fillId="3" borderId="0" xfId="1" applyNumberFormat="1" applyFont="1" applyFill="1" applyBorder="1" applyAlignment="1">
      <alignment vertical="center" wrapText="1"/>
    </xf>
    <xf numFmtId="0" fontId="2" fillId="0" borderId="6" xfId="0" applyFont="1" applyBorder="1" applyAlignment="1">
      <alignment horizontal="center" vertical="center"/>
    </xf>
    <xf numFmtId="1" fontId="1" fillId="0" borderId="6" xfId="0" applyNumberFormat="1" applyFont="1" applyBorder="1" applyAlignment="1">
      <alignment horizontal="center" vertical="center"/>
    </xf>
    <xf numFmtId="0" fontId="1" fillId="0" borderId="6" xfId="0" applyFont="1" applyBorder="1" applyAlignment="1">
      <alignment horizontal="center" vertical="center"/>
    </xf>
    <xf numFmtId="177" fontId="1" fillId="6" borderId="6" xfId="0" applyNumberFormat="1" applyFont="1" applyFill="1" applyBorder="1" applyAlignment="1">
      <alignment horizontal="center" vertical="center"/>
    </xf>
    <xf numFmtId="177" fontId="1" fillId="0" borderId="6" xfId="0" applyNumberFormat="1" applyFont="1" applyBorder="1" applyAlignment="1">
      <alignment horizontal="center" vertical="center"/>
    </xf>
    <xf numFmtId="0" fontId="1" fillId="4" borderId="6" xfId="0" applyFont="1" applyFill="1" applyBorder="1" applyAlignment="1">
      <alignment horizontal="center" vertical="center"/>
    </xf>
    <xf numFmtId="9" fontId="1" fillId="0" borderId="6" xfId="2" applyFont="1" applyBorder="1" applyAlignment="1">
      <alignment horizontal="center" vertical="center"/>
    </xf>
    <xf numFmtId="2" fontId="1" fillId="0" borderId="6" xfId="0" applyNumberFormat="1" applyFont="1" applyBorder="1" applyAlignment="1">
      <alignment horizontal="center" vertical="center"/>
    </xf>
    <xf numFmtId="0" fontId="1" fillId="0" borderId="9" xfId="0" applyFont="1" applyBorder="1" applyAlignment="1">
      <alignment horizontal="center" vertical="center"/>
    </xf>
    <xf numFmtId="43" fontId="1" fillId="0" borderId="9" xfId="1" applyFont="1" applyBorder="1" applyAlignment="1">
      <alignment horizontal="center" vertical="center"/>
    </xf>
    <xf numFmtId="0" fontId="5" fillId="2" borderId="0" xfId="0" applyFont="1" applyFill="1" applyBorder="1" applyAlignment="1">
      <alignment horizontal="center" vertical="center"/>
    </xf>
    <xf numFmtId="0" fontId="1" fillId="2" borderId="0" xfId="0" applyFont="1" applyFill="1" applyBorder="1" applyAlignment="1">
      <alignment horizontal="center" vertical="center"/>
    </xf>
    <xf numFmtId="177" fontId="1" fillId="2" borderId="0" xfId="0" applyNumberFormat="1" applyFont="1" applyFill="1" applyBorder="1" applyAlignment="1">
      <alignment horizontal="center" vertical="center"/>
    </xf>
    <xf numFmtId="0" fontId="5" fillId="2" borderId="3" xfId="0" applyFont="1" applyFill="1" applyBorder="1" applyAlignment="1">
      <alignment horizontal="center" vertical="center"/>
    </xf>
    <xf numFmtId="0" fontId="1" fillId="2" borderId="12" xfId="0" applyFont="1" applyFill="1" applyBorder="1" applyAlignment="1">
      <alignment horizontal="center" vertical="center"/>
    </xf>
    <xf numFmtId="177" fontId="1" fillId="2" borderId="12" xfId="0" applyNumberFormat="1" applyFont="1" applyFill="1" applyBorder="1" applyAlignment="1">
      <alignment horizontal="center" vertical="center"/>
    </xf>
    <xf numFmtId="9" fontId="1" fillId="2" borderId="12" xfId="2" applyFont="1" applyFill="1" applyBorder="1" applyAlignment="1">
      <alignment horizontal="center" vertical="center"/>
    </xf>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0" xfId="0" applyFont="1" applyAlignment="1">
      <alignment horizontal="center" vertical="center" wrapText="1"/>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1" fillId="6" borderId="0" xfId="0" applyFont="1" applyFill="1" applyAlignment="1">
      <alignment horizontal="left" vertical="center" wrapText="1"/>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0" borderId="6" xfId="0" applyFont="1" applyBorder="1" applyAlignment="1">
      <alignment horizontal="center" vertical="center"/>
    </xf>
    <xf numFmtId="0" fontId="2" fillId="0" borderId="9" xfId="0" applyFont="1" applyBorder="1" applyAlignment="1">
      <alignment horizontal="center" vertical="center"/>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0" fontId="2" fillId="0" borderId="7" xfId="0" applyFont="1"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0"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278C-3DD9-4A98-B80C-BFE07EB5F53A}">
  <dimension ref="A1:F26"/>
  <sheetViews>
    <sheetView zoomScale="90" zoomScaleNormal="90" workbookViewId="0">
      <selection activeCell="K19" sqref="K19"/>
    </sheetView>
  </sheetViews>
  <sheetFormatPr defaultColWidth="9.125" defaultRowHeight="16.5" x14ac:dyDescent="0.2"/>
  <cols>
    <col min="1" max="1" width="12.125" style="2" bestFit="1" customWidth="1"/>
    <col min="2" max="2" width="23.75" style="2" bestFit="1" customWidth="1"/>
    <col min="3" max="3" width="26.75" style="2" bestFit="1" customWidth="1"/>
    <col min="4" max="4" width="27.125" style="2" bestFit="1" customWidth="1"/>
    <col min="5" max="5" width="27.375" style="2" customWidth="1"/>
    <col min="6" max="6" width="17.375" style="2" customWidth="1"/>
    <col min="7" max="16384" width="9.125" style="2"/>
  </cols>
  <sheetData>
    <row r="1" spans="1:6" x14ac:dyDescent="0.2">
      <c r="B1" s="1" t="s">
        <v>129</v>
      </c>
      <c r="C1" s="1" t="s">
        <v>130</v>
      </c>
      <c r="D1" s="1" t="s">
        <v>131</v>
      </c>
    </row>
    <row r="2" spans="1:6" x14ac:dyDescent="0.2">
      <c r="A2" s="3" t="s">
        <v>132</v>
      </c>
      <c r="B2" s="2" t="s">
        <v>127</v>
      </c>
      <c r="C2" s="2" t="s">
        <v>128</v>
      </c>
      <c r="D2" s="2" t="s">
        <v>128</v>
      </c>
    </row>
    <row r="3" spans="1:6" ht="33" customHeight="1" x14ac:dyDescent="0.2">
      <c r="A3" s="3" t="s">
        <v>133</v>
      </c>
      <c r="B3" s="6" t="s">
        <v>134</v>
      </c>
      <c r="C3" s="2" t="s">
        <v>70</v>
      </c>
      <c r="D3" s="7" t="s">
        <v>99</v>
      </c>
    </row>
    <row r="4" spans="1:6" ht="33" customHeight="1" x14ac:dyDescent="0.2">
      <c r="A4" s="3" t="s">
        <v>142</v>
      </c>
      <c r="B4" s="6" t="s">
        <v>9</v>
      </c>
      <c r="C4" s="7" t="s">
        <v>74</v>
      </c>
      <c r="D4" s="7" t="s">
        <v>143</v>
      </c>
    </row>
    <row r="5" spans="1:6" x14ac:dyDescent="0.2">
      <c r="A5" s="3" t="s">
        <v>135</v>
      </c>
      <c r="B5" s="2" t="s">
        <v>138</v>
      </c>
      <c r="C5" s="2" t="s">
        <v>136</v>
      </c>
      <c r="D5" s="2" t="s">
        <v>137</v>
      </c>
    </row>
    <row r="6" spans="1:6" x14ac:dyDescent="0.2">
      <c r="A6" s="3" t="s">
        <v>139</v>
      </c>
      <c r="B6" s="4" t="s">
        <v>140</v>
      </c>
      <c r="C6" s="2" t="s">
        <v>141</v>
      </c>
      <c r="D6" s="2" t="s">
        <v>141</v>
      </c>
    </row>
    <row r="7" spans="1:6" x14ac:dyDescent="0.2">
      <c r="A7" s="3" t="s">
        <v>145</v>
      </c>
      <c r="B7" s="2" t="s">
        <v>144</v>
      </c>
      <c r="C7" s="2" t="s">
        <v>147</v>
      </c>
      <c r="D7" s="2" t="s">
        <v>146</v>
      </c>
    </row>
    <row r="10" spans="1:6" x14ac:dyDescent="0.2">
      <c r="A10" s="8" t="s">
        <v>148</v>
      </c>
    </row>
    <row r="11" spans="1:6" ht="220.5" customHeight="1" x14ac:dyDescent="0.2">
      <c r="A11" s="3" t="s">
        <v>125</v>
      </c>
      <c r="B11" s="92" t="s">
        <v>156</v>
      </c>
      <c r="C11" s="93"/>
      <c r="D11" s="3" t="s">
        <v>126</v>
      </c>
      <c r="E11" s="92" t="s">
        <v>189</v>
      </c>
      <c r="F11" s="93"/>
    </row>
    <row r="12" spans="1:6" ht="173.25" customHeight="1" x14ac:dyDescent="0.2">
      <c r="A12" s="3" t="s">
        <v>157</v>
      </c>
      <c r="B12" s="92" t="s">
        <v>155</v>
      </c>
      <c r="C12" s="92"/>
      <c r="D12" s="3" t="s">
        <v>158</v>
      </c>
      <c r="E12" s="92" t="s">
        <v>159</v>
      </c>
      <c r="F12" s="92"/>
    </row>
    <row r="14" spans="1:6" x14ac:dyDescent="0.2">
      <c r="A14" s="8" t="s">
        <v>160</v>
      </c>
    </row>
    <row r="15" spans="1:6" x14ac:dyDescent="0.2">
      <c r="A15" s="3" t="s">
        <v>133</v>
      </c>
      <c r="B15" s="2" t="s">
        <v>149</v>
      </c>
      <c r="C15" s="2" t="s">
        <v>162</v>
      </c>
      <c r="D15" s="2" t="s">
        <v>150</v>
      </c>
      <c r="E15" s="2" t="s">
        <v>151</v>
      </c>
    </row>
    <row r="16" spans="1:6" x14ac:dyDescent="0.2">
      <c r="A16" s="3" t="s">
        <v>152</v>
      </c>
      <c r="B16" s="2" t="s">
        <v>165</v>
      </c>
      <c r="C16" s="2" t="s">
        <v>161</v>
      </c>
      <c r="D16" s="2" t="s">
        <v>163</v>
      </c>
      <c r="E16" s="2" t="s">
        <v>164</v>
      </c>
    </row>
    <row r="17" spans="1:5" ht="33" x14ac:dyDescent="0.2">
      <c r="A17" s="3" t="s">
        <v>153</v>
      </c>
      <c r="B17" s="7" t="s">
        <v>167</v>
      </c>
      <c r="C17" s="7" t="s">
        <v>170</v>
      </c>
      <c r="D17" s="7" t="s">
        <v>168</v>
      </c>
      <c r="E17" s="7" t="s">
        <v>169</v>
      </c>
    </row>
    <row r="18" spans="1:5" x14ac:dyDescent="0.2">
      <c r="A18" s="3" t="s">
        <v>154</v>
      </c>
      <c r="B18" s="2" t="s">
        <v>171</v>
      </c>
      <c r="C18" s="2" t="s">
        <v>172</v>
      </c>
      <c r="D18" s="2" t="s">
        <v>174</v>
      </c>
      <c r="E18" s="2" t="s">
        <v>173</v>
      </c>
    </row>
    <row r="19" spans="1:5" ht="33" x14ac:dyDescent="0.2">
      <c r="A19" s="3" t="s">
        <v>176</v>
      </c>
      <c r="B19" s="7" t="s">
        <v>166</v>
      </c>
      <c r="C19" s="7" t="s">
        <v>175</v>
      </c>
      <c r="D19" s="7" t="s">
        <v>177</v>
      </c>
      <c r="E19" s="7"/>
    </row>
    <row r="21" spans="1:5" x14ac:dyDescent="0.2">
      <c r="A21" s="8" t="s">
        <v>178</v>
      </c>
    </row>
    <row r="22" spans="1:5" x14ac:dyDescent="0.2">
      <c r="A22" s="3" t="s">
        <v>133</v>
      </c>
      <c r="B22" s="2" t="s">
        <v>149</v>
      </c>
      <c r="C22" s="2" t="s">
        <v>162</v>
      </c>
      <c r="D22" s="2" t="s">
        <v>150</v>
      </c>
      <c r="E22" s="2" t="s">
        <v>151</v>
      </c>
    </row>
    <row r="23" spans="1:5" x14ac:dyDescent="0.2">
      <c r="A23" s="3" t="s">
        <v>188</v>
      </c>
      <c r="B23" s="2" t="s">
        <v>183</v>
      </c>
      <c r="C23" s="2" t="s">
        <v>183</v>
      </c>
      <c r="D23" s="2" t="s">
        <v>184</v>
      </c>
      <c r="E23" s="2" t="s">
        <v>185</v>
      </c>
    </row>
    <row r="24" spans="1:5" ht="33" x14ac:dyDescent="0.2">
      <c r="A24" s="3" t="s">
        <v>179</v>
      </c>
      <c r="B24" s="7" t="s">
        <v>180</v>
      </c>
      <c r="C24" s="7" t="s">
        <v>180</v>
      </c>
      <c r="D24" s="7" t="s">
        <v>181</v>
      </c>
      <c r="E24" s="7" t="s">
        <v>186</v>
      </c>
    </row>
    <row r="25" spans="1:5" ht="49.5" x14ac:dyDescent="0.2">
      <c r="D25" s="7" t="s">
        <v>182</v>
      </c>
    </row>
    <row r="26" spans="1:5" x14ac:dyDescent="0.2">
      <c r="A26" s="9" t="s">
        <v>187</v>
      </c>
    </row>
  </sheetData>
  <mergeCells count="4">
    <mergeCell ref="B12:C12"/>
    <mergeCell ref="B11:C11"/>
    <mergeCell ref="E11:F11"/>
    <mergeCell ref="E12:F12"/>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D26"/>
  <sheetViews>
    <sheetView zoomScale="85" zoomScaleNormal="85" workbookViewId="0">
      <selection activeCell="B10" sqref="B10"/>
    </sheetView>
  </sheetViews>
  <sheetFormatPr defaultColWidth="28.375" defaultRowHeight="16.5" x14ac:dyDescent="0.2"/>
  <cols>
    <col min="1" max="1" width="12.125" style="6" bestFit="1" customWidth="1"/>
    <col min="2" max="2" width="14.25" style="7" customWidth="1"/>
    <col min="3" max="3" width="26" style="7" customWidth="1"/>
    <col min="4" max="4" width="36.875" style="7" customWidth="1"/>
    <col min="5" max="5" width="27.875" style="7" customWidth="1"/>
    <col min="6" max="6" width="28.25" style="7" customWidth="1"/>
    <col min="7" max="7" width="21.375" style="7" customWidth="1"/>
    <col min="8" max="8" width="14" style="7" customWidth="1"/>
    <col min="9" max="9" width="11.125" style="7" customWidth="1"/>
    <col min="10" max="12" width="11.375" style="7" customWidth="1"/>
    <col min="13" max="14" width="9.75" style="7" bestFit="1" customWidth="1"/>
    <col min="15" max="16" width="10.375" style="7" bestFit="1" customWidth="1"/>
    <col min="17" max="17" width="28.375" style="7"/>
    <col min="18" max="18" width="46.125" style="7" customWidth="1"/>
    <col min="19" max="21" width="28.375" style="7"/>
    <col min="22" max="22" width="29.125" style="7" customWidth="1"/>
    <col min="23" max="23" width="28.375" style="7"/>
    <col min="24" max="25" width="5.625" style="7" customWidth="1"/>
    <col min="26" max="27" width="4.875" style="7" bestFit="1" customWidth="1"/>
    <col min="28" max="28" width="6.75" style="7" bestFit="1" customWidth="1"/>
    <col min="29" max="29" width="4.875" style="7" bestFit="1" customWidth="1"/>
    <col min="30" max="30" width="11.25" style="7" bestFit="1" customWidth="1"/>
    <col min="31" max="16384" width="28.375" style="7"/>
  </cols>
  <sheetData>
    <row r="1" spans="1:30" s="28" customFormat="1" ht="33" x14ac:dyDescent="0.2">
      <c r="A1" s="28" t="s">
        <v>285</v>
      </c>
      <c r="B1" s="89" t="s">
        <v>356</v>
      </c>
      <c r="C1" s="28" t="s">
        <v>52</v>
      </c>
      <c r="D1" s="28" t="s">
        <v>0</v>
      </c>
      <c r="E1" s="28" t="s">
        <v>1</v>
      </c>
      <c r="F1" s="28" t="s">
        <v>2</v>
      </c>
      <c r="G1" s="28" t="s">
        <v>7</v>
      </c>
      <c r="H1" s="28" t="s">
        <v>53</v>
      </c>
      <c r="I1" s="28" t="s">
        <v>190</v>
      </c>
      <c r="J1" s="28" t="s">
        <v>55</v>
      </c>
      <c r="K1" s="28" t="s">
        <v>275</v>
      </c>
      <c r="L1" s="28" t="s">
        <v>276</v>
      </c>
      <c r="M1" s="56" t="s">
        <v>336</v>
      </c>
      <c r="N1" s="56" t="s">
        <v>337</v>
      </c>
      <c r="O1" s="56" t="s">
        <v>338</v>
      </c>
      <c r="P1" s="56" t="s">
        <v>339</v>
      </c>
      <c r="Q1" s="28" t="s">
        <v>47</v>
      </c>
      <c r="R1" s="28" t="s">
        <v>24</v>
      </c>
      <c r="S1" s="28" t="s">
        <v>25</v>
      </c>
      <c r="T1" s="28" t="s">
        <v>31</v>
      </c>
      <c r="U1" s="28" t="s">
        <v>32</v>
      </c>
      <c r="V1" s="28" t="s">
        <v>56</v>
      </c>
      <c r="W1" s="28" t="s">
        <v>281</v>
      </c>
      <c r="X1" s="96" t="s">
        <v>258</v>
      </c>
      <c r="Y1" s="96"/>
      <c r="Z1" s="96"/>
      <c r="AA1" s="96"/>
      <c r="AB1" s="96"/>
      <c r="AC1" s="96"/>
      <c r="AD1" s="96"/>
    </row>
    <row r="2" spans="1:30" s="28" customFormat="1" x14ac:dyDescent="0.2">
      <c r="A2" s="36"/>
      <c r="B2" s="89"/>
      <c r="L2" s="30"/>
      <c r="M2" s="30"/>
      <c r="N2" s="30"/>
      <c r="O2" s="30"/>
      <c r="P2" s="30"/>
      <c r="X2" s="33" t="s">
        <v>273</v>
      </c>
      <c r="Y2" s="33" t="s">
        <v>340</v>
      </c>
      <c r="Z2" s="28" t="s">
        <v>259</v>
      </c>
      <c r="AA2" s="28" t="s">
        <v>260</v>
      </c>
      <c r="AB2" s="28" t="s">
        <v>261</v>
      </c>
      <c r="AC2" s="28" t="s">
        <v>262</v>
      </c>
      <c r="AD2" s="28" t="s">
        <v>263</v>
      </c>
    </row>
    <row r="3" spans="1:30" x14ac:dyDescent="0.2">
      <c r="A3" s="92" t="s">
        <v>11</v>
      </c>
      <c r="B3" s="92"/>
      <c r="C3" s="92" t="s">
        <v>5</v>
      </c>
      <c r="D3" s="92" t="s">
        <v>286</v>
      </c>
      <c r="E3" s="92" t="s">
        <v>3</v>
      </c>
      <c r="F3" s="92" t="s">
        <v>4</v>
      </c>
      <c r="G3" s="7" t="s">
        <v>8</v>
      </c>
      <c r="H3" s="29">
        <v>498</v>
      </c>
      <c r="I3" s="30">
        <f>J3/100</f>
        <v>1.7785714285714282</v>
      </c>
      <c r="J3" s="29">
        <f>H3/280*100</f>
        <v>177.85714285714283</v>
      </c>
      <c r="K3" s="39">
        <v>0.77300000000000002</v>
      </c>
      <c r="L3" s="30">
        <f>J3/K3/100</f>
        <v>2.3008686009979669</v>
      </c>
      <c r="M3" s="30"/>
      <c r="N3" s="30"/>
      <c r="O3" s="30"/>
      <c r="P3" s="30"/>
      <c r="Q3" s="92" t="s">
        <v>9</v>
      </c>
      <c r="R3" s="92" t="s">
        <v>44</v>
      </c>
      <c r="S3" s="92" t="s">
        <v>26</v>
      </c>
      <c r="T3" s="92" t="s">
        <v>37</v>
      </c>
      <c r="U3" s="92" t="s">
        <v>45</v>
      </c>
      <c r="V3" s="92" t="s">
        <v>58</v>
      </c>
      <c r="X3" s="34"/>
      <c r="Y3" s="34"/>
      <c r="Z3" s="7" t="s">
        <v>264</v>
      </c>
      <c r="AA3" s="7" t="s">
        <v>264</v>
      </c>
    </row>
    <row r="4" spans="1:30" x14ac:dyDescent="0.2">
      <c r="A4" s="92"/>
      <c r="B4" s="92"/>
      <c r="C4" s="92"/>
      <c r="D4" s="92"/>
      <c r="E4" s="92"/>
      <c r="F4" s="92"/>
      <c r="G4" s="7" t="s">
        <v>10</v>
      </c>
      <c r="H4" s="29">
        <v>468</v>
      </c>
      <c r="I4" s="30">
        <f t="shared" ref="I4:I16" si="0">J4/100</f>
        <v>1.95</v>
      </c>
      <c r="J4" s="29">
        <f>H4/240*100</f>
        <v>195</v>
      </c>
      <c r="K4" s="39">
        <v>0.77300000000000002</v>
      </c>
      <c r="L4" s="30">
        <f t="shared" ref="L4:L23" si="1">J4/K4/100</f>
        <v>2.5226390685640361</v>
      </c>
      <c r="M4" s="30"/>
      <c r="N4" s="30"/>
      <c r="O4" s="30"/>
      <c r="P4" s="30"/>
      <c r="Q4" s="92"/>
      <c r="R4" s="92"/>
      <c r="S4" s="92"/>
      <c r="T4" s="92"/>
      <c r="U4" s="92"/>
      <c r="V4" s="92"/>
      <c r="X4" s="34"/>
      <c r="Y4" s="34"/>
    </row>
    <row r="5" spans="1:30" ht="33" x14ac:dyDescent="0.2">
      <c r="A5" s="6" t="s">
        <v>12</v>
      </c>
      <c r="C5" s="7" t="s">
        <v>5</v>
      </c>
      <c r="D5" s="7" t="s">
        <v>287</v>
      </c>
      <c r="E5" s="7" t="s">
        <v>267</v>
      </c>
      <c r="F5" s="7" t="s">
        <v>4</v>
      </c>
      <c r="G5" s="7" t="s">
        <v>27</v>
      </c>
      <c r="H5" s="29">
        <v>698</v>
      </c>
      <c r="I5" s="30">
        <f>J5/100</f>
        <v>4.8472222222222223</v>
      </c>
      <c r="J5" s="29">
        <f>H5/144*100</f>
        <v>484.72222222222223</v>
      </c>
      <c r="K5" s="39">
        <v>0.87</v>
      </c>
      <c r="L5" s="30">
        <f t="shared" si="1"/>
        <v>5.5715197956577267</v>
      </c>
      <c r="M5" s="30"/>
      <c r="N5" s="30"/>
      <c r="O5" s="30"/>
      <c r="P5" s="30"/>
      <c r="R5" s="7" t="s">
        <v>28</v>
      </c>
      <c r="S5" s="7" t="s">
        <v>29</v>
      </c>
      <c r="T5" s="7" t="s">
        <v>30</v>
      </c>
      <c r="U5" s="7" t="s">
        <v>33</v>
      </c>
      <c r="X5" s="34"/>
      <c r="Y5" s="34"/>
      <c r="AD5" s="7" t="s">
        <v>264</v>
      </c>
    </row>
    <row r="6" spans="1:30" x14ac:dyDescent="0.2">
      <c r="A6" s="92" t="s">
        <v>13</v>
      </c>
      <c r="B6" s="92"/>
      <c r="C6" s="92" t="s">
        <v>5</v>
      </c>
      <c r="D6" s="92" t="s">
        <v>288</v>
      </c>
      <c r="E6" s="92" t="s">
        <v>265</v>
      </c>
      <c r="F6" s="92" t="s">
        <v>4</v>
      </c>
      <c r="G6" s="7" t="s">
        <v>46</v>
      </c>
      <c r="H6" s="29">
        <v>399</v>
      </c>
      <c r="I6" s="30">
        <f t="shared" si="0"/>
        <v>1.7733333333333334</v>
      </c>
      <c r="J6" s="29">
        <f>H6/225*100</f>
        <v>177.33333333333334</v>
      </c>
      <c r="K6" s="39">
        <v>0.87</v>
      </c>
      <c r="L6" s="30">
        <f t="shared" si="1"/>
        <v>2.0383141762452111</v>
      </c>
      <c r="M6" s="30"/>
      <c r="N6" s="30"/>
      <c r="O6" s="30"/>
      <c r="P6" s="30"/>
      <c r="Q6" s="92"/>
      <c r="R6" s="92" t="s">
        <v>38</v>
      </c>
      <c r="S6" s="92" t="s">
        <v>48</v>
      </c>
      <c r="T6" s="92" t="s">
        <v>49</v>
      </c>
      <c r="U6" s="92" t="s">
        <v>45</v>
      </c>
      <c r="V6" s="92" t="s">
        <v>58</v>
      </c>
      <c r="X6" s="34"/>
      <c r="Y6" s="34"/>
    </row>
    <row r="7" spans="1:30" x14ac:dyDescent="0.2">
      <c r="A7" s="92"/>
      <c r="B7" s="92"/>
      <c r="C7" s="92" t="s">
        <v>5</v>
      </c>
      <c r="D7" s="92"/>
      <c r="E7" s="92"/>
      <c r="F7" s="92"/>
      <c r="G7" s="7" t="s">
        <v>50</v>
      </c>
      <c r="H7" s="29">
        <v>270</v>
      </c>
      <c r="I7" s="30">
        <f t="shared" si="0"/>
        <v>2</v>
      </c>
      <c r="J7" s="29">
        <f>H7/135*100</f>
        <v>200</v>
      </c>
      <c r="K7" s="39">
        <v>0.87</v>
      </c>
      <c r="L7" s="30">
        <f t="shared" si="1"/>
        <v>2.2988505747126435</v>
      </c>
      <c r="M7" s="30"/>
      <c r="N7" s="30"/>
      <c r="O7" s="30"/>
      <c r="P7" s="30"/>
      <c r="Q7" s="92"/>
      <c r="R7" s="92"/>
      <c r="S7" s="92"/>
      <c r="T7" s="92"/>
      <c r="U7" s="92"/>
      <c r="V7" s="92"/>
      <c r="X7" s="34"/>
      <c r="Y7" s="34"/>
      <c r="AA7" s="7" t="s">
        <v>264</v>
      </c>
    </row>
    <row r="8" spans="1:30" ht="33" x14ac:dyDescent="0.2">
      <c r="A8" s="6" t="s">
        <v>14</v>
      </c>
      <c r="C8" s="7" t="s">
        <v>5</v>
      </c>
      <c r="D8" s="7" t="s">
        <v>289</v>
      </c>
      <c r="E8" s="7" t="s">
        <v>6</v>
      </c>
      <c r="F8" s="7" t="s">
        <v>4</v>
      </c>
      <c r="G8" s="7" t="s">
        <v>51</v>
      </c>
      <c r="H8" s="29">
        <v>498</v>
      </c>
      <c r="I8" s="30">
        <f>J8/100</f>
        <v>2.7666666666666671</v>
      </c>
      <c r="J8" s="29">
        <f>H8/180*100</f>
        <v>276.66666666666669</v>
      </c>
      <c r="K8" s="39">
        <v>0.8</v>
      </c>
      <c r="L8" s="30">
        <f t="shared" si="1"/>
        <v>3.458333333333333</v>
      </c>
      <c r="M8" s="30"/>
      <c r="N8" s="30"/>
      <c r="O8" s="30"/>
      <c r="P8" s="30"/>
      <c r="R8" s="7" t="s">
        <v>54</v>
      </c>
      <c r="S8" s="7" t="s">
        <v>219</v>
      </c>
      <c r="T8" s="7" t="s">
        <v>39</v>
      </c>
      <c r="U8" s="7" t="s">
        <v>45</v>
      </c>
      <c r="V8" s="7" t="s">
        <v>57</v>
      </c>
      <c r="X8" s="34"/>
      <c r="Y8" s="34"/>
      <c r="Z8" s="7" t="s">
        <v>264</v>
      </c>
      <c r="AA8" s="7" t="s">
        <v>264</v>
      </c>
      <c r="AD8" s="7" t="s">
        <v>264</v>
      </c>
    </row>
    <row r="9" spans="1:30" ht="49.5" x14ac:dyDescent="0.2">
      <c r="A9" s="64" t="s">
        <v>341</v>
      </c>
      <c r="C9" s="7" t="s">
        <v>5</v>
      </c>
      <c r="D9" s="7" t="s">
        <v>343</v>
      </c>
      <c r="E9" s="7" t="s">
        <v>344</v>
      </c>
      <c r="F9" s="7" t="s">
        <v>345</v>
      </c>
      <c r="G9" s="7" t="s">
        <v>346</v>
      </c>
      <c r="H9" s="29">
        <v>458</v>
      </c>
      <c r="I9" s="30">
        <f t="shared" si="0"/>
        <v>2.3854166666666665</v>
      </c>
      <c r="J9" s="29">
        <f>H9/192*100</f>
        <v>238.54166666666666</v>
      </c>
      <c r="K9" s="39">
        <v>0.86</v>
      </c>
      <c r="L9" s="30">
        <f>J9/K9/100</f>
        <v>2.7737403100775193</v>
      </c>
      <c r="M9" s="57">
        <f>186*K9</f>
        <v>159.96</v>
      </c>
      <c r="N9" s="29">
        <v>14</v>
      </c>
      <c r="O9" s="57">
        <f>M9/$K9</f>
        <v>186</v>
      </c>
      <c r="P9" s="29">
        <f>N9/$K9</f>
        <v>16.279069767441861</v>
      </c>
      <c r="Q9" s="7" t="s">
        <v>347</v>
      </c>
      <c r="R9" s="7" t="s">
        <v>348</v>
      </c>
      <c r="S9" s="7" t="s">
        <v>349</v>
      </c>
      <c r="X9" s="34" t="s">
        <v>350</v>
      </c>
      <c r="Y9" s="34"/>
    </row>
    <row r="10" spans="1:30" ht="33" x14ac:dyDescent="0.2">
      <c r="A10" s="6" t="s">
        <v>59</v>
      </c>
      <c r="C10" s="7" t="s">
        <v>73</v>
      </c>
      <c r="D10" s="7" t="s">
        <v>290</v>
      </c>
      <c r="E10" s="7" t="s">
        <v>63</v>
      </c>
      <c r="F10" s="7" t="s">
        <v>70</v>
      </c>
      <c r="G10" s="7" t="s">
        <v>75</v>
      </c>
      <c r="H10" s="7">
        <v>229</v>
      </c>
      <c r="I10" s="30">
        <f t="shared" si="0"/>
        <v>0.57250000000000001</v>
      </c>
      <c r="J10" s="29">
        <f>H10/400*100</f>
        <v>57.25</v>
      </c>
      <c r="K10" s="39">
        <v>0.56000000000000005</v>
      </c>
      <c r="L10" s="30">
        <f t="shared" si="1"/>
        <v>1.0223214285714284</v>
      </c>
      <c r="M10" s="30"/>
      <c r="N10" s="30"/>
      <c r="O10" s="30"/>
      <c r="P10" s="30"/>
      <c r="Q10" s="7" t="s">
        <v>74</v>
      </c>
      <c r="R10" s="7" t="s">
        <v>76</v>
      </c>
      <c r="S10" s="7" t="s">
        <v>72</v>
      </c>
      <c r="U10" s="7" t="s">
        <v>45</v>
      </c>
      <c r="V10" s="7" t="s">
        <v>77</v>
      </c>
      <c r="W10" s="7" t="s">
        <v>88</v>
      </c>
      <c r="X10" s="34"/>
      <c r="Y10" s="34"/>
      <c r="Z10" s="7" t="s">
        <v>264</v>
      </c>
      <c r="AA10" s="7" t="s">
        <v>264</v>
      </c>
      <c r="AB10" s="7" t="s">
        <v>264</v>
      </c>
      <c r="AC10" s="7" t="s">
        <v>264</v>
      </c>
      <c r="AD10" s="7" t="s">
        <v>264</v>
      </c>
    </row>
    <row r="11" spans="1:30" ht="33" x14ac:dyDescent="0.2">
      <c r="A11" s="6" t="s">
        <v>60</v>
      </c>
      <c r="C11" s="7" t="s">
        <v>73</v>
      </c>
      <c r="D11" s="7" t="s">
        <v>291</v>
      </c>
      <c r="E11" s="7" t="s">
        <v>90</v>
      </c>
      <c r="F11" s="7" t="s">
        <v>70</v>
      </c>
      <c r="G11" s="7" t="s">
        <v>87</v>
      </c>
      <c r="H11" s="7">
        <v>421</v>
      </c>
      <c r="I11" s="30">
        <f t="shared" si="0"/>
        <v>0.70166666666666666</v>
      </c>
      <c r="J11" s="29">
        <f>H11/600*100</f>
        <v>70.166666666666671</v>
      </c>
      <c r="K11" s="39">
        <v>0.8</v>
      </c>
      <c r="L11" s="30">
        <f t="shared" si="1"/>
        <v>0.87708333333333333</v>
      </c>
      <c r="M11" s="30"/>
      <c r="N11" s="30"/>
      <c r="O11" s="30"/>
      <c r="P11" s="30"/>
      <c r="Q11" s="7" t="s">
        <v>89</v>
      </c>
      <c r="R11" s="7" t="s">
        <v>91</v>
      </c>
      <c r="S11" s="7" t="s">
        <v>211</v>
      </c>
      <c r="U11" s="7" t="s">
        <v>45</v>
      </c>
      <c r="V11" s="7" t="s">
        <v>77</v>
      </c>
      <c r="W11" s="7" t="s">
        <v>88</v>
      </c>
      <c r="X11" s="34"/>
      <c r="Y11" s="34"/>
      <c r="Z11" s="7" t="s">
        <v>264</v>
      </c>
      <c r="AA11" s="7" t="s">
        <v>264</v>
      </c>
      <c r="AB11" s="7" t="s">
        <v>264</v>
      </c>
      <c r="AC11" s="7" t="s">
        <v>264</v>
      </c>
      <c r="AD11" s="7" t="s">
        <v>264</v>
      </c>
    </row>
    <row r="12" spans="1:30" x14ac:dyDescent="0.2">
      <c r="A12" s="6" t="s">
        <v>301</v>
      </c>
      <c r="C12" s="7" t="s">
        <v>73</v>
      </c>
      <c r="D12" s="7" t="s">
        <v>292</v>
      </c>
      <c r="E12" s="7" t="s">
        <v>92</v>
      </c>
      <c r="F12" s="7" t="s">
        <v>93</v>
      </c>
      <c r="G12" s="7" t="s">
        <v>95</v>
      </c>
      <c r="H12" s="7">
        <v>560</v>
      </c>
      <c r="I12" s="30">
        <f t="shared" si="0"/>
        <v>0.72727272727272729</v>
      </c>
      <c r="J12" s="29">
        <f>H12/770*100</f>
        <v>72.727272727272734</v>
      </c>
      <c r="K12" s="39">
        <v>0.8</v>
      </c>
      <c r="L12" s="30">
        <f t="shared" si="1"/>
        <v>0.90909090909090906</v>
      </c>
      <c r="M12" s="30"/>
      <c r="N12" s="30"/>
      <c r="O12" s="30"/>
      <c r="P12" s="30"/>
      <c r="Q12" s="7" t="s">
        <v>96</v>
      </c>
      <c r="R12" s="7" t="s">
        <v>94</v>
      </c>
      <c r="S12" s="7" t="s">
        <v>97</v>
      </c>
      <c r="U12" s="7" t="s">
        <v>45</v>
      </c>
      <c r="V12" s="7" t="s">
        <v>77</v>
      </c>
      <c r="W12" s="7" t="s">
        <v>88</v>
      </c>
      <c r="X12" s="34"/>
      <c r="Y12" s="34"/>
      <c r="AD12" s="7" t="s">
        <v>264</v>
      </c>
    </row>
    <row r="13" spans="1:30" ht="49.5" x14ac:dyDescent="0.2">
      <c r="A13" s="6" t="s">
        <v>297</v>
      </c>
      <c r="C13" s="7" t="s">
        <v>73</v>
      </c>
      <c r="D13" s="7" t="s">
        <v>293</v>
      </c>
      <c r="E13" s="7" t="s">
        <v>207</v>
      </c>
      <c r="F13" s="7" t="s">
        <v>214</v>
      </c>
      <c r="G13" s="7" t="s">
        <v>208</v>
      </c>
      <c r="H13" s="7">
        <v>618</v>
      </c>
      <c r="I13" s="30">
        <v>1.23</v>
      </c>
      <c r="J13" s="29">
        <v>123</v>
      </c>
      <c r="K13" s="39">
        <v>0.9</v>
      </c>
      <c r="L13" s="30">
        <f t="shared" si="1"/>
        <v>1.3666666666666665</v>
      </c>
      <c r="M13" s="30"/>
      <c r="N13" s="30"/>
      <c r="O13" s="30"/>
      <c r="P13" s="30"/>
      <c r="Q13" s="7" t="s">
        <v>283</v>
      </c>
      <c r="R13" s="7" t="s">
        <v>213</v>
      </c>
      <c r="S13" s="7" t="s">
        <v>212</v>
      </c>
      <c r="U13" s="7" t="s">
        <v>209</v>
      </c>
      <c r="V13" s="7" t="s">
        <v>210</v>
      </c>
      <c r="X13" s="34"/>
      <c r="Y13" s="34"/>
      <c r="Z13" s="7" t="s">
        <v>264</v>
      </c>
      <c r="AA13" s="7" t="s">
        <v>264</v>
      </c>
      <c r="AC13" s="7" t="s">
        <v>264</v>
      </c>
      <c r="AD13" s="7" t="s">
        <v>264</v>
      </c>
    </row>
    <row r="14" spans="1:30" ht="99" hidden="1" x14ac:dyDescent="0.2">
      <c r="A14" s="6" t="s">
        <v>59</v>
      </c>
      <c r="C14" s="7" t="s">
        <v>257</v>
      </c>
      <c r="D14" s="7" t="s">
        <v>302</v>
      </c>
      <c r="E14" s="7" t="s">
        <v>63</v>
      </c>
      <c r="F14" s="7" t="s">
        <v>215</v>
      </c>
      <c r="G14" s="7" t="s">
        <v>81</v>
      </c>
      <c r="H14" s="7">
        <v>98</v>
      </c>
      <c r="I14" s="30">
        <f t="shared" si="0"/>
        <v>0.32666666666666666</v>
      </c>
      <c r="J14" s="29">
        <f>H14/300*100</f>
        <v>32.666666666666664</v>
      </c>
      <c r="K14" s="39">
        <v>0.75</v>
      </c>
      <c r="L14" s="30">
        <f t="shared" si="1"/>
        <v>0.43555555555555547</v>
      </c>
      <c r="M14" s="30"/>
      <c r="N14" s="30"/>
      <c r="O14" s="30"/>
      <c r="P14" s="30"/>
      <c r="Q14" s="7" t="s">
        <v>100</v>
      </c>
      <c r="R14" s="7" t="s">
        <v>80</v>
      </c>
      <c r="S14" s="7" t="s">
        <v>79</v>
      </c>
      <c r="U14" s="7" t="s">
        <v>45</v>
      </c>
      <c r="V14" s="7" t="s">
        <v>78</v>
      </c>
      <c r="X14" s="34"/>
      <c r="Y14" s="34"/>
      <c r="Z14" s="7" t="s">
        <v>264</v>
      </c>
      <c r="AA14" s="7" t="s">
        <v>264</v>
      </c>
      <c r="AB14" s="7" t="s">
        <v>264</v>
      </c>
      <c r="AC14" s="7" t="s">
        <v>264</v>
      </c>
      <c r="AD14" s="7" t="s">
        <v>264</v>
      </c>
    </row>
    <row r="15" spans="1:30" ht="33" hidden="1" x14ac:dyDescent="0.2">
      <c r="A15" s="6" t="s">
        <v>304</v>
      </c>
      <c r="C15" s="7" t="s">
        <v>62</v>
      </c>
      <c r="D15" s="7" t="s">
        <v>303</v>
      </c>
      <c r="E15" s="7" t="s">
        <v>98</v>
      </c>
      <c r="F15" s="7" t="s">
        <v>99</v>
      </c>
      <c r="G15" s="7" t="s">
        <v>83</v>
      </c>
      <c r="H15" s="7">
        <v>269</v>
      </c>
      <c r="I15" s="30">
        <f t="shared" si="0"/>
        <v>0.59777777777777774</v>
      </c>
      <c r="J15" s="29">
        <f>H15/450*100</f>
        <v>59.777777777777771</v>
      </c>
      <c r="K15" s="39">
        <v>0.753</v>
      </c>
      <c r="L15" s="30">
        <f t="shared" si="1"/>
        <v>0.7938615906743397</v>
      </c>
      <c r="M15" s="30"/>
      <c r="N15" s="30"/>
      <c r="O15" s="30"/>
      <c r="P15" s="30"/>
      <c r="Q15" s="7" t="s">
        <v>101</v>
      </c>
      <c r="R15" s="7" t="s">
        <v>102</v>
      </c>
      <c r="S15" s="7" t="s">
        <v>104</v>
      </c>
      <c r="V15" s="7" t="s">
        <v>103</v>
      </c>
      <c r="X15" s="34"/>
      <c r="Y15" s="34"/>
      <c r="Z15" s="7" t="s">
        <v>264</v>
      </c>
      <c r="AA15" s="7" t="s">
        <v>264</v>
      </c>
      <c r="AB15" s="7" t="s">
        <v>264</v>
      </c>
      <c r="AC15" s="7" t="s">
        <v>264</v>
      </c>
      <c r="AD15" s="7" t="s">
        <v>264</v>
      </c>
    </row>
    <row r="16" spans="1:30" hidden="1" x14ac:dyDescent="0.2">
      <c r="A16" s="6" t="s">
        <v>65</v>
      </c>
      <c r="C16" s="7" t="s">
        <v>64</v>
      </c>
      <c r="D16" s="7" t="s">
        <v>305</v>
      </c>
      <c r="F16" s="7" t="s">
        <v>68</v>
      </c>
      <c r="G16" s="7" t="s">
        <v>67</v>
      </c>
      <c r="H16" s="7">
        <v>520</v>
      </c>
      <c r="I16" s="30">
        <f t="shared" si="0"/>
        <v>0.20800000000000002</v>
      </c>
      <c r="J16" s="29">
        <f>H16/2500*100</f>
        <v>20.8</v>
      </c>
      <c r="K16" s="39">
        <v>0.82</v>
      </c>
      <c r="L16" s="30">
        <f t="shared" si="1"/>
        <v>0.25365853658536586</v>
      </c>
      <c r="M16" s="30"/>
      <c r="N16" s="30"/>
      <c r="O16" s="30"/>
      <c r="P16" s="30"/>
      <c r="Q16" s="7" t="s">
        <v>82</v>
      </c>
      <c r="R16" s="7" t="s">
        <v>66</v>
      </c>
      <c r="S16" s="7" t="s">
        <v>84</v>
      </c>
      <c r="U16" s="7" t="s">
        <v>85</v>
      </c>
      <c r="V16" s="7" t="s">
        <v>86</v>
      </c>
      <c r="X16" s="34"/>
      <c r="Y16" s="34"/>
      <c r="Z16" s="7" t="s">
        <v>264</v>
      </c>
      <c r="AA16" s="7" t="s">
        <v>264</v>
      </c>
      <c r="AC16" s="7" t="s">
        <v>264</v>
      </c>
    </row>
    <row r="17" spans="1:30" ht="33" hidden="1" x14ac:dyDescent="0.2">
      <c r="A17" s="6" t="s">
        <v>298</v>
      </c>
      <c r="C17" s="7" t="s">
        <v>257</v>
      </c>
      <c r="D17" s="7" t="s">
        <v>294</v>
      </c>
      <c r="E17" s="7" t="s">
        <v>266</v>
      </c>
      <c r="F17" s="7" t="s">
        <v>99</v>
      </c>
      <c r="G17" s="7" t="s">
        <v>216</v>
      </c>
      <c r="H17" s="7">
        <v>238</v>
      </c>
      <c r="I17" s="30">
        <v>0.48</v>
      </c>
      <c r="J17" s="29">
        <v>47.6</v>
      </c>
      <c r="K17" s="39">
        <v>0.20499999999999999</v>
      </c>
      <c r="L17" s="30">
        <f t="shared" si="1"/>
        <v>2.3219512195121954</v>
      </c>
      <c r="M17" s="30"/>
      <c r="N17" s="30"/>
      <c r="O17" s="30"/>
      <c r="P17" s="30"/>
      <c r="Q17" s="7" t="s">
        <v>217</v>
      </c>
      <c r="R17" s="7" t="s">
        <v>218</v>
      </c>
      <c r="S17" s="7" t="s">
        <v>220</v>
      </c>
      <c r="U17" s="7" t="s">
        <v>221</v>
      </c>
      <c r="V17" s="7" t="s">
        <v>222</v>
      </c>
      <c r="X17" s="34"/>
      <c r="Y17" s="34"/>
      <c r="Z17" s="7" t="s">
        <v>264</v>
      </c>
    </row>
    <row r="18" spans="1:30" ht="49.5" hidden="1" x14ac:dyDescent="0.2">
      <c r="A18" s="6" t="s">
        <v>299</v>
      </c>
      <c r="C18" s="7" t="s">
        <v>257</v>
      </c>
      <c r="D18" s="7" t="s">
        <v>295</v>
      </c>
      <c r="E18" s="7" t="s">
        <v>251</v>
      </c>
      <c r="F18" s="7" t="s">
        <v>224</v>
      </c>
      <c r="G18" s="7" t="s">
        <v>223</v>
      </c>
      <c r="H18" s="7">
        <v>258</v>
      </c>
      <c r="I18" s="30">
        <v>1.07</v>
      </c>
      <c r="J18" s="29">
        <v>107.5</v>
      </c>
      <c r="K18" s="39">
        <v>0.223</v>
      </c>
      <c r="L18" s="30">
        <f t="shared" si="1"/>
        <v>4.8206278026905833</v>
      </c>
      <c r="M18" s="30"/>
      <c r="N18" s="30"/>
      <c r="O18" s="30"/>
      <c r="P18" s="30"/>
      <c r="Q18" s="7" t="s">
        <v>224</v>
      </c>
      <c r="S18" s="7" t="s">
        <v>225</v>
      </c>
      <c r="U18" s="7" t="s">
        <v>209</v>
      </c>
      <c r="V18" s="7" t="s">
        <v>226</v>
      </c>
      <c r="X18" s="34"/>
      <c r="Y18" s="34"/>
      <c r="Z18" s="7" t="s">
        <v>264</v>
      </c>
      <c r="AA18" s="7" t="s">
        <v>264</v>
      </c>
      <c r="AB18" s="7" t="s">
        <v>264</v>
      </c>
      <c r="AC18" s="7" t="s">
        <v>264</v>
      </c>
      <c r="AD18" s="7" t="s">
        <v>264</v>
      </c>
    </row>
    <row r="19" spans="1:30" x14ac:dyDescent="0.2">
      <c r="A19" s="55" t="s">
        <v>308</v>
      </c>
      <c r="C19" s="7" t="s">
        <v>257</v>
      </c>
      <c r="D19" s="7" t="s">
        <v>307</v>
      </c>
      <c r="E19" s="7" t="s">
        <v>252</v>
      </c>
      <c r="F19" s="7" t="s">
        <v>231</v>
      </c>
      <c r="G19" s="6" t="s">
        <v>230</v>
      </c>
      <c r="H19" s="7">
        <v>598</v>
      </c>
      <c r="I19" s="30">
        <f>H19/464</f>
        <v>1.2887931034482758</v>
      </c>
      <c r="J19" s="29">
        <f t="shared" ref="J19:J25" si="2">I19*100</f>
        <v>128.87931034482759</v>
      </c>
      <c r="K19" s="39">
        <v>0.86199999999999999</v>
      </c>
      <c r="L19" s="30">
        <f>J19/K19/100</f>
        <v>1.4951196095687656</v>
      </c>
      <c r="M19" s="57">
        <f>营养成分对比!U18</f>
        <v>250</v>
      </c>
      <c r="N19" s="57">
        <f>营养成分对比!U17</f>
        <v>339.65517241379308</v>
      </c>
      <c r="O19" s="29">
        <f t="shared" ref="O19:P21" si="3">M19/$K19</f>
        <v>290.02320185614849</v>
      </c>
      <c r="P19" s="29">
        <f t="shared" si="3"/>
        <v>394.03152252180172</v>
      </c>
      <c r="Q19" s="7" t="s">
        <v>231</v>
      </c>
      <c r="R19" s="7" t="s">
        <v>233</v>
      </c>
      <c r="S19" s="7" t="s">
        <v>234</v>
      </c>
      <c r="U19" s="7" t="s">
        <v>235</v>
      </c>
      <c r="X19" s="34"/>
      <c r="Y19" s="34"/>
      <c r="Z19" s="7" t="s">
        <v>264</v>
      </c>
      <c r="AA19" s="7" t="s">
        <v>264</v>
      </c>
      <c r="AB19" s="7" t="s">
        <v>264</v>
      </c>
      <c r="AC19" s="7" t="s">
        <v>264</v>
      </c>
      <c r="AD19" s="7" t="s">
        <v>264</v>
      </c>
    </row>
    <row r="20" spans="1:30" ht="49.5" x14ac:dyDescent="0.2">
      <c r="A20" s="55" t="s">
        <v>300</v>
      </c>
      <c r="C20" s="7" t="s">
        <v>257</v>
      </c>
      <c r="D20" s="7" t="s">
        <v>296</v>
      </c>
      <c r="E20" s="7" t="s">
        <v>253</v>
      </c>
      <c r="F20" s="7" t="s">
        <v>236</v>
      </c>
      <c r="G20" s="6" t="s">
        <v>237</v>
      </c>
      <c r="H20" s="7">
        <v>258</v>
      </c>
      <c r="I20" s="30">
        <f>H20/180</f>
        <v>1.4333333333333333</v>
      </c>
      <c r="J20" s="29">
        <f t="shared" si="2"/>
        <v>143.33333333333334</v>
      </c>
      <c r="K20" s="39">
        <v>0.8</v>
      </c>
      <c r="L20" s="30">
        <f t="shared" si="1"/>
        <v>1.7916666666666665</v>
      </c>
      <c r="M20" s="57">
        <f>营养成分对比!V18</f>
        <v>90</v>
      </c>
      <c r="N20" s="57">
        <f>营养成分对比!V17</f>
        <v>20</v>
      </c>
      <c r="O20" s="29">
        <f t="shared" si="3"/>
        <v>112.5</v>
      </c>
      <c r="P20" s="29">
        <f t="shared" si="3"/>
        <v>25</v>
      </c>
      <c r="Q20" s="7" t="s">
        <v>236</v>
      </c>
      <c r="R20" s="7" t="s">
        <v>238</v>
      </c>
      <c r="S20" s="7" t="s">
        <v>239</v>
      </c>
      <c r="U20" s="7" t="s">
        <v>209</v>
      </c>
      <c r="V20" s="7" t="s">
        <v>240</v>
      </c>
      <c r="X20" s="34"/>
      <c r="Y20" s="34"/>
      <c r="Z20" s="7" t="s">
        <v>264</v>
      </c>
    </row>
    <row r="21" spans="1:30" ht="33" x14ac:dyDescent="0.2">
      <c r="A21" s="55" t="s">
        <v>310</v>
      </c>
      <c r="C21" s="7" t="s">
        <v>257</v>
      </c>
      <c r="D21" s="7" t="s">
        <v>309</v>
      </c>
      <c r="E21" s="7" t="s">
        <v>254</v>
      </c>
      <c r="F21" s="7" t="s">
        <v>242</v>
      </c>
      <c r="G21" s="6" t="s">
        <v>243</v>
      </c>
      <c r="H21" s="7">
        <v>156</v>
      </c>
      <c r="I21" s="30">
        <f>H21/200</f>
        <v>0.78</v>
      </c>
      <c r="J21" s="29">
        <f t="shared" si="2"/>
        <v>78</v>
      </c>
      <c r="K21" s="39">
        <v>0.86</v>
      </c>
      <c r="L21" s="30">
        <f t="shared" si="1"/>
        <v>0.90697674418604646</v>
      </c>
      <c r="M21" s="57">
        <f>营养成分对比!W18</f>
        <v>24</v>
      </c>
      <c r="N21" s="57">
        <f>营养成分对比!W17</f>
        <v>21</v>
      </c>
      <c r="O21" s="29">
        <f t="shared" si="3"/>
        <v>27.906976744186046</v>
      </c>
      <c r="P21" s="29">
        <f t="shared" si="3"/>
        <v>24.418604651162791</v>
      </c>
      <c r="Q21" s="7" t="s">
        <v>242</v>
      </c>
      <c r="R21" s="7" t="s">
        <v>332</v>
      </c>
      <c r="S21" s="7" t="s">
        <v>244</v>
      </c>
      <c r="U21" s="7" t="s">
        <v>209</v>
      </c>
      <c r="V21" s="7" t="s">
        <v>245</v>
      </c>
      <c r="X21" s="34"/>
      <c r="Y21" s="34"/>
      <c r="Z21" s="7" t="s">
        <v>264</v>
      </c>
      <c r="AA21" s="7" t="s">
        <v>264</v>
      </c>
      <c r="AD21" s="7" t="s">
        <v>264</v>
      </c>
    </row>
    <row r="22" spans="1:30" hidden="1" x14ac:dyDescent="0.2">
      <c r="A22" s="6" t="s">
        <v>306</v>
      </c>
      <c r="C22" s="7" t="s">
        <v>257</v>
      </c>
      <c r="D22" s="7" t="s">
        <v>311</v>
      </c>
      <c r="E22" s="7" t="s">
        <v>255</v>
      </c>
      <c r="F22" s="7" t="s">
        <v>249</v>
      </c>
      <c r="G22" s="6" t="s">
        <v>216</v>
      </c>
      <c r="H22" s="7">
        <v>268</v>
      </c>
      <c r="I22" s="30">
        <f>H22/500</f>
        <v>0.53600000000000003</v>
      </c>
      <c r="J22" s="29">
        <f t="shared" si="2"/>
        <v>53.6</v>
      </c>
      <c r="K22" s="39">
        <v>0.21</v>
      </c>
      <c r="L22" s="30">
        <f t="shared" si="1"/>
        <v>2.5523809523809522</v>
      </c>
      <c r="M22" s="57"/>
      <c r="N22" s="57"/>
      <c r="O22" s="30"/>
      <c r="P22" s="30"/>
      <c r="Q22" s="7" t="s">
        <v>246</v>
      </c>
      <c r="S22" s="7" t="s">
        <v>247</v>
      </c>
      <c r="U22" s="7" t="s">
        <v>221</v>
      </c>
      <c r="V22" s="7" t="s">
        <v>248</v>
      </c>
      <c r="X22" s="34"/>
      <c r="Y22" s="34"/>
      <c r="Z22" s="7" t="s">
        <v>264</v>
      </c>
      <c r="AA22" s="7" t="s">
        <v>264</v>
      </c>
    </row>
    <row r="23" spans="1:30" ht="66" x14ac:dyDescent="0.2">
      <c r="A23" s="55" t="s">
        <v>313</v>
      </c>
      <c r="C23" s="7" t="s">
        <v>257</v>
      </c>
      <c r="D23" s="7" t="s">
        <v>312</v>
      </c>
      <c r="E23" s="7" t="s">
        <v>255</v>
      </c>
      <c r="F23" s="7" t="s">
        <v>249</v>
      </c>
      <c r="G23" s="6" t="s">
        <v>351</v>
      </c>
      <c r="H23" s="7">
        <v>319</v>
      </c>
      <c r="I23" s="30">
        <f>H23/300</f>
        <v>1.0633333333333332</v>
      </c>
      <c r="J23" s="29">
        <f t="shared" si="2"/>
        <v>106.33333333333333</v>
      </c>
      <c r="K23" s="39">
        <v>0.8</v>
      </c>
      <c r="L23" s="30">
        <f t="shared" si="1"/>
        <v>1.3291666666666666</v>
      </c>
      <c r="M23" s="57">
        <f>营养成分对比!AA18</f>
        <v>0</v>
      </c>
      <c r="N23" s="57">
        <f>营养成分对比!AA17</f>
        <v>0</v>
      </c>
      <c r="O23" s="29">
        <f t="shared" ref="O23:P25" si="4">M23/$K23</f>
        <v>0</v>
      </c>
      <c r="P23" s="29">
        <f t="shared" si="4"/>
        <v>0</v>
      </c>
      <c r="Q23" s="7" t="s">
        <v>246</v>
      </c>
      <c r="R23" s="7" t="s">
        <v>329</v>
      </c>
      <c r="S23" s="7" t="s">
        <v>250</v>
      </c>
      <c r="X23" s="34"/>
      <c r="Y23" s="34"/>
      <c r="Z23" s="7" t="s">
        <v>264</v>
      </c>
    </row>
    <row r="24" spans="1:30" ht="49.5" x14ac:dyDescent="0.2">
      <c r="A24" s="97" t="s">
        <v>284</v>
      </c>
      <c r="B24" s="94"/>
      <c r="C24" s="94" t="s">
        <v>108</v>
      </c>
      <c r="D24" s="94" t="s">
        <v>268</v>
      </c>
      <c r="E24" s="94" t="s">
        <v>269</v>
      </c>
      <c r="F24" s="31" t="s">
        <v>278</v>
      </c>
      <c r="G24" s="32" t="s">
        <v>271</v>
      </c>
      <c r="H24" s="59">
        <v>528</v>
      </c>
      <c r="I24" s="60">
        <f>H24/440</f>
        <v>1.2</v>
      </c>
      <c r="J24" s="61">
        <f t="shared" si="2"/>
        <v>120</v>
      </c>
      <c r="K24" s="62">
        <v>0.92</v>
      </c>
      <c r="L24" s="60">
        <f>J24/K24/100</f>
        <v>1.3043478260869565</v>
      </c>
      <c r="M24" s="66">
        <v>26</v>
      </c>
      <c r="N24" s="66">
        <v>21</v>
      </c>
      <c r="O24" s="61">
        <f t="shared" si="4"/>
        <v>28.260869565217391</v>
      </c>
      <c r="P24" s="61">
        <f t="shared" si="4"/>
        <v>22.826086956521738</v>
      </c>
      <c r="Q24" s="31" t="s">
        <v>270</v>
      </c>
      <c r="R24" s="94" t="s">
        <v>352</v>
      </c>
      <c r="S24" s="31"/>
      <c r="T24" s="95"/>
      <c r="U24" s="94" t="s">
        <v>45</v>
      </c>
      <c r="V24" s="31" t="s">
        <v>280</v>
      </c>
      <c r="W24" s="7" t="s">
        <v>282</v>
      </c>
      <c r="X24" s="34"/>
      <c r="Y24" s="34"/>
    </row>
    <row r="25" spans="1:30" ht="33" x14ac:dyDescent="0.2">
      <c r="A25" s="97"/>
      <c r="B25" s="94"/>
      <c r="C25" s="94"/>
      <c r="D25" s="94"/>
      <c r="E25" s="94"/>
      <c r="F25" s="31" t="s">
        <v>274</v>
      </c>
      <c r="G25" s="32" t="s">
        <v>272</v>
      </c>
      <c r="H25" s="59">
        <v>428</v>
      </c>
      <c r="I25" s="60">
        <f>H25/330</f>
        <v>1.2969696969696969</v>
      </c>
      <c r="J25" s="61">
        <f t="shared" si="2"/>
        <v>129.69696969696969</v>
      </c>
      <c r="K25" s="62">
        <v>0.92</v>
      </c>
      <c r="L25" s="60">
        <f>J25/K25/100</f>
        <v>1.4097496706192356</v>
      </c>
      <c r="M25" s="58">
        <v>36</v>
      </c>
      <c r="N25" s="58">
        <v>33</v>
      </c>
      <c r="O25" s="61">
        <f t="shared" si="4"/>
        <v>39.130434782608695</v>
      </c>
      <c r="P25" s="61">
        <f t="shared" si="4"/>
        <v>35.869565217391305</v>
      </c>
      <c r="Q25" s="31" t="s">
        <v>277</v>
      </c>
      <c r="R25" s="94"/>
      <c r="S25" s="31"/>
      <c r="T25" s="95"/>
      <c r="U25" s="94"/>
      <c r="V25" s="31" t="s">
        <v>279</v>
      </c>
      <c r="W25" s="7" t="s">
        <v>282</v>
      </c>
      <c r="X25" s="34"/>
      <c r="Y25" s="34"/>
    </row>
    <row r="26" spans="1:30" x14ac:dyDescent="0.2">
      <c r="L26" s="63">
        <f>L25-L24</f>
        <v>0.10540184453227908</v>
      </c>
    </row>
  </sheetData>
  <mergeCells count="33">
    <mergeCell ref="A3:A4"/>
    <mergeCell ref="A6:A7"/>
    <mergeCell ref="A24:A25"/>
    <mergeCell ref="D3:D4"/>
    <mergeCell ref="E3:E4"/>
    <mergeCell ref="C24:C25"/>
    <mergeCell ref="D24:D25"/>
    <mergeCell ref="E24:E25"/>
    <mergeCell ref="D6:D7"/>
    <mergeCell ref="E6:E7"/>
    <mergeCell ref="C3:C4"/>
    <mergeCell ref="C6:C7"/>
    <mergeCell ref="B3:B4"/>
    <mergeCell ref="B6:B7"/>
    <mergeCell ref="B24:B25"/>
    <mergeCell ref="X1:AD1"/>
    <mergeCell ref="U6:U7"/>
    <mergeCell ref="V3:V4"/>
    <mergeCell ref="V6:V7"/>
    <mergeCell ref="F3:F4"/>
    <mergeCell ref="Q3:Q4"/>
    <mergeCell ref="R3:R4"/>
    <mergeCell ref="T3:T4"/>
    <mergeCell ref="U3:U4"/>
    <mergeCell ref="S3:S4"/>
    <mergeCell ref="F6:F7"/>
    <mergeCell ref="Q6:Q7"/>
    <mergeCell ref="R24:R25"/>
    <mergeCell ref="T24:T25"/>
    <mergeCell ref="U24:U25"/>
    <mergeCell ref="R6:R7"/>
    <mergeCell ref="S6:S7"/>
    <mergeCell ref="T6:T7"/>
  </mergeCells>
  <phoneticPr fontId="9"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2B2B2-12F0-416E-BA70-18A9CB00A020}">
  <sheetPr>
    <tabColor theme="5"/>
  </sheetPr>
  <dimension ref="A1:AF45"/>
  <sheetViews>
    <sheetView showGridLines="0" tabSelected="1" zoomScale="80" zoomScaleNormal="80" workbookViewId="0">
      <selection activeCell="B4" sqref="B4:C4"/>
    </sheetView>
  </sheetViews>
  <sheetFormatPr defaultColWidth="9.125" defaultRowHeight="16.5" x14ac:dyDescent="0.2"/>
  <cols>
    <col min="1" max="1" width="26.25" style="2" bestFit="1" customWidth="1"/>
    <col min="2" max="3" width="8.375" style="5" bestFit="1" customWidth="1"/>
    <col min="4" max="4" width="7.375" style="5" bestFit="1" customWidth="1"/>
    <col min="5" max="5" width="8.25" style="5" bestFit="1" customWidth="1"/>
    <col min="6" max="6" width="7.375" style="5" bestFit="1" customWidth="1"/>
    <col min="7" max="7" width="8.25" style="5" bestFit="1" customWidth="1"/>
    <col min="8" max="8" width="7.375" style="5" bestFit="1" customWidth="1"/>
    <col min="9" max="9" width="8.25" style="5" bestFit="1" customWidth="1"/>
    <col min="10" max="10" width="12.125" style="5" customWidth="1"/>
    <col min="11" max="11" width="14" style="5" customWidth="1"/>
    <col min="12" max="12" width="17.625" style="5" customWidth="1"/>
    <col min="13" max="14" width="15.375" style="5" customWidth="1"/>
    <col min="15" max="15" width="28.125" style="5" customWidth="1"/>
    <col min="16" max="16" width="21" style="5" customWidth="1"/>
    <col min="17" max="18" width="17.75" style="5" customWidth="1"/>
    <col min="19" max="19" width="30.375" style="5" customWidth="1"/>
    <col min="20" max="20" width="21.625" style="5" customWidth="1"/>
    <col min="21" max="22" width="17.75" style="5" customWidth="1"/>
    <col min="23" max="23" width="18.25" style="5" customWidth="1"/>
    <col min="24" max="24" width="17.75" style="5" hidden="1" customWidth="1"/>
    <col min="25" max="26" width="22.75" style="5" customWidth="1"/>
    <col min="27" max="27" width="17.75" style="5" customWidth="1"/>
    <col min="28" max="28" width="10" style="5" bestFit="1" customWidth="1"/>
    <col min="29" max="29" width="8.125" style="5" bestFit="1" customWidth="1"/>
    <col min="30" max="30" width="9.125" style="5" bestFit="1" customWidth="1"/>
    <col min="31" max="31" width="20.875" style="5" customWidth="1"/>
    <col min="32" max="32" width="18.375" style="5" customWidth="1"/>
    <col min="33" max="16384" width="9.125" style="2"/>
  </cols>
  <sheetData>
    <row r="1" spans="1:32" s="3" customFormat="1" ht="32.1" customHeight="1" x14ac:dyDescent="0.2">
      <c r="A1" s="12"/>
      <c r="B1" s="100" t="s">
        <v>107</v>
      </c>
      <c r="C1" s="104"/>
      <c r="D1" s="104"/>
      <c r="E1" s="104"/>
      <c r="F1" s="104"/>
      <c r="G1" s="104"/>
      <c r="H1" s="104"/>
      <c r="I1" s="104"/>
      <c r="J1" s="104"/>
      <c r="K1" s="101"/>
      <c r="L1" s="98" t="s">
        <v>69</v>
      </c>
      <c r="M1" s="98"/>
      <c r="N1" s="98"/>
      <c r="O1" s="98"/>
      <c r="P1" s="98" t="s">
        <v>108</v>
      </c>
      <c r="Q1" s="98"/>
      <c r="R1" s="98"/>
      <c r="S1" s="98"/>
      <c r="T1" s="98"/>
      <c r="U1" s="98"/>
      <c r="V1" s="98"/>
      <c r="W1" s="98"/>
      <c r="X1" s="98"/>
      <c r="Y1" s="98"/>
      <c r="Z1" s="98"/>
      <c r="AA1" s="98"/>
      <c r="AB1" s="107" t="s">
        <v>108</v>
      </c>
      <c r="AC1" s="108"/>
      <c r="AD1" s="109"/>
      <c r="AE1" s="100" t="s">
        <v>108</v>
      </c>
      <c r="AF1" s="101"/>
    </row>
    <row r="2" spans="1:32" ht="32.1" customHeight="1" x14ac:dyDescent="0.2">
      <c r="A2" s="12" t="s">
        <v>357</v>
      </c>
      <c r="B2" s="98" t="s">
        <v>11</v>
      </c>
      <c r="C2" s="98"/>
      <c r="D2" s="98" t="s">
        <v>12</v>
      </c>
      <c r="E2" s="98"/>
      <c r="F2" s="98" t="s">
        <v>13</v>
      </c>
      <c r="G2" s="98"/>
      <c r="H2" s="98" t="s">
        <v>14</v>
      </c>
      <c r="I2" s="98"/>
      <c r="J2" s="100" t="s">
        <v>341</v>
      </c>
      <c r="K2" s="101"/>
      <c r="L2" s="10" t="s">
        <v>59</v>
      </c>
      <c r="M2" s="10" t="s">
        <v>60</v>
      </c>
      <c r="N2" s="10" t="s">
        <v>61</v>
      </c>
      <c r="O2" s="10" t="s">
        <v>227</v>
      </c>
      <c r="P2" s="10" t="s">
        <v>105</v>
      </c>
      <c r="Q2" s="10" t="s">
        <v>228</v>
      </c>
      <c r="R2" s="10" t="s">
        <v>65</v>
      </c>
      <c r="S2" s="10" t="s">
        <v>205</v>
      </c>
      <c r="T2" s="27" t="s">
        <v>206</v>
      </c>
      <c r="U2" s="51" t="s">
        <v>229</v>
      </c>
      <c r="V2" s="51" t="s">
        <v>300</v>
      </c>
      <c r="W2" s="52" t="s">
        <v>335</v>
      </c>
      <c r="X2" s="43" t="s">
        <v>328</v>
      </c>
      <c r="Y2" s="27" t="s">
        <v>327</v>
      </c>
      <c r="Z2" s="51" t="s">
        <v>333</v>
      </c>
      <c r="AA2" s="51" t="s">
        <v>353</v>
      </c>
      <c r="AB2" s="100" t="s">
        <v>284</v>
      </c>
      <c r="AC2" s="104"/>
      <c r="AD2" s="101"/>
      <c r="AE2" s="98" t="s">
        <v>193</v>
      </c>
      <c r="AF2" s="98"/>
    </row>
    <row r="3" spans="1:32" ht="32.1" customHeight="1" x14ac:dyDescent="0.2">
      <c r="A3" s="12" t="s">
        <v>358</v>
      </c>
      <c r="B3" s="98"/>
      <c r="C3" s="98"/>
      <c r="D3" s="98"/>
      <c r="E3" s="98"/>
      <c r="F3" s="98"/>
      <c r="G3" s="98"/>
      <c r="H3" s="98"/>
      <c r="I3" s="98"/>
      <c r="J3" s="100"/>
      <c r="K3" s="101"/>
      <c r="L3" s="90"/>
      <c r="M3" s="90"/>
      <c r="N3" s="90"/>
      <c r="O3" s="90"/>
      <c r="P3" s="90"/>
      <c r="Q3" s="90"/>
      <c r="R3" s="90"/>
      <c r="S3" s="90"/>
      <c r="T3" s="91"/>
      <c r="U3" s="51"/>
      <c r="V3" s="51"/>
      <c r="W3" s="52"/>
      <c r="X3" s="43"/>
      <c r="Y3" s="91"/>
      <c r="Z3" s="51"/>
      <c r="AA3" s="51"/>
      <c r="AB3" s="100"/>
      <c r="AC3" s="104"/>
      <c r="AD3" s="101"/>
      <c r="AE3" s="98"/>
      <c r="AF3" s="98"/>
    </row>
    <row r="4" spans="1:32" ht="32.1" customHeight="1" x14ac:dyDescent="0.2">
      <c r="A4" s="12" t="s">
        <v>359</v>
      </c>
      <c r="B4" s="98"/>
      <c r="C4" s="98"/>
      <c r="D4" s="98"/>
      <c r="E4" s="98"/>
      <c r="F4" s="98"/>
      <c r="G4" s="98"/>
      <c r="H4" s="98"/>
      <c r="I4" s="98"/>
      <c r="J4" s="100"/>
      <c r="K4" s="101"/>
      <c r="L4" s="90"/>
      <c r="M4" s="90"/>
      <c r="N4" s="90"/>
      <c r="O4" s="90"/>
      <c r="P4" s="90"/>
      <c r="Q4" s="90"/>
      <c r="R4" s="90"/>
      <c r="S4" s="90"/>
      <c r="T4" s="91"/>
      <c r="U4" s="51"/>
      <c r="V4" s="51"/>
      <c r="W4" s="52"/>
      <c r="X4" s="43"/>
      <c r="Y4" s="91"/>
      <c r="Z4" s="51"/>
      <c r="AA4" s="51"/>
      <c r="AB4" s="100"/>
      <c r="AC4" s="104"/>
      <c r="AD4" s="101"/>
      <c r="AE4" s="98"/>
      <c r="AF4" s="98"/>
    </row>
    <row r="5" spans="1:32" ht="66.75" customHeight="1" x14ac:dyDescent="0.2">
      <c r="A5" s="13" t="s">
        <v>119</v>
      </c>
      <c r="B5" s="105" t="s">
        <v>118</v>
      </c>
      <c r="C5" s="105"/>
      <c r="D5" s="105"/>
      <c r="E5" s="105"/>
      <c r="F5" s="105"/>
      <c r="G5" s="105"/>
      <c r="H5" s="105"/>
      <c r="I5" s="105"/>
      <c r="J5" s="102" t="s">
        <v>342</v>
      </c>
      <c r="K5" s="103"/>
      <c r="L5" s="14" t="s">
        <v>120</v>
      </c>
      <c r="M5" s="14" t="s">
        <v>70</v>
      </c>
      <c r="N5" s="14" t="s">
        <v>93</v>
      </c>
      <c r="O5" s="14" t="s">
        <v>256</v>
      </c>
      <c r="P5" s="14" t="s">
        <v>100</v>
      </c>
      <c r="Q5" s="14" t="s">
        <v>101</v>
      </c>
      <c r="R5" s="14" t="s">
        <v>121</v>
      </c>
      <c r="S5" s="14" t="s">
        <v>217</v>
      </c>
      <c r="T5" s="14" t="s">
        <v>224</v>
      </c>
      <c r="U5" s="14" t="s">
        <v>231</v>
      </c>
      <c r="V5" s="14" t="s">
        <v>236</v>
      </c>
      <c r="W5" s="14" t="s">
        <v>242</v>
      </c>
      <c r="X5" s="44" t="s">
        <v>330</v>
      </c>
      <c r="Y5" s="14" t="s">
        <v>330</v>
      </c>
      <c r="Z5" s="14" t="s">
        <v>334</v>
      </c>
      <c r="AA5" s="14"/>
      <c r="AB5" s="110" t="s">
        <v>122</v>
      </c>
      <c r="AC5" s="111"/>
      <c r="AD5" s="112"/>
      <c r="AE5" s="99" t="s">
        <v>196</v>
      </c>
      <c r="AF5" s="99"/>
    </row>
    <row r="6" spans="1:32" x14ac:dyDescent="0.2">
      <c r="A6" s="13" t="s">
        <v>117</v>
      </c>
      <c r="B6" s="10" t="s">
        <v>16</v>
      </c>
      <c r="C6" s="10" t="s">
        <v>17</v>
      </c>
      <c r="D6" s="10" t="s">
        <v>16</v>
      </c>
      <c r="E6" s="10" t="s">
        <v>17</v>
      </c>
      <c r="F6" s="10" t="s">
        <v>16</v>
      </c>
      <c r="G6" s="10" t="s">
        <v>17</v>
      </c>
      <c r="H6" s="10" t="s">
        <v>16</v>
      </c>
      <c r="I6" s="10" t="s">
        <v>17</v>
      </c>
      <c r="J6" s="10" t="s">
        <v>16</v>
      </c>
      <c r="K6" s="10" t="s">
        <v>17</v>
      </c>
      <c r="L6" s="10" t="s">
        <v>16</v>
      </c>
      <c r="M6" s="10" t="s">
        <v>16</v>
      </c>
      <c r="N6" s="10" t="s">
        <v>16</v>
      </c>
      <c r="O6" s="15" t="s">
        <v>16</v>
      </c>
      <c r="P6" s="10" t="s">
        <v>16</v>
      </c>
      <c r="Q6" s="10" t="s">
        <v>16</v>
      </c>
      <c r="R6" s="10" t="s">
        <v>16</v>
      </c>
      <c r="S6" s="10" t="s">
        <v>16</v>
      </c>
      <c r="T6" s="10" t="s">
        <v>16</v>
      </c>
      <c r="U6" s="10" t="s">
        <v>16</v>
      </c>
      <c r="V6" s="10" t="s">
        <v>16</v>
      </c>
      <c r="W6" s="10" t="s">
        <v>16</v>
      </c>
      <c r="X6" s="45" t="s">
        <v>16</v>
      </c>
      <c r="Y6" s="10" t="s">
        <v>16</v>
      </c>
      <c r="Z6" s="10" t="s">
        <v>16</v>
      </c>
      <c r="AA6" s="67" t="s">
        <v>16</v>
      </c>
      <c r="AB6" s="86" t="s">
        <v>197</v>
      </c>
      <c r="AC6" s="88" t="s">
        <v>16</v>
      </c>
      <c r="AD6" s="87" t="s">
        <v>17</v>
      </c>
      <c r="AE6" s="87" t="s">
        <v>194</v>
      </c>
      <c r="AF6" s="15" t="s">
        <v>197</v>
      </c>
    </row>
    <row r="7" spans="1:32" x14ac:dyDescent="0.2">
      <c r="A7" s="13" t="s">
        <v>123</v>
      </c>
      <c r="B7" s="11">
        <f>市售产品!J3</f>
        <v>177.85714285714283</v>
      </c>
      <c r="C7" s="16"/>
      <c r="D7" s="16"/>
      <c r="E7" s="16"/>
      <c r="F7" s="11">
        <f>市售产品!J6</f>
        <v>177.33333333333334</v>
      </c>
      <c r="G7" s="16"/>
      <c r="H7" s="11">
        <f>市售产品!J8</f>
        <v>276.66666666666669</v>
      </c>
      <c r="I7" s="16"/>
      <c r="J7" s="16"/>
      <c r="K7" s="16"/>
      <c r="L7" s="11">
        <f>市售产品!J10</f>
        <v>57.25</v>
      </c>
      <c r="M7" s="11">
        <f>市售产品!J11</f>
        <v>70.166666666666671</v>
      </c>
      <c r="N7" s="11">
        <f>市售产品!J12</f>
        <v>72.727272727272734</v>
      </c>
      <c r="O7" s="16">
        <v>123</v>
      </c>
      <c r="P7" s="11">
        <f>市售产品!J14</f>
        <v>32.666666666666664</v>
      </c>
      <c r="Q7" s="11">
        <f>市售产品!J15</f>
        <v>59.777777777777771</v>
      </c>
      <c r="R7" s="11">
        <f>市售产品!J16</f>
        <v>20.8</v>
      </c>
      <c r="T7" s="11"/>
      <c r="U7" s="11">
        <v>113</v>
      </c>
      <c r="V7" s="11"/>
      <c r="W7" s="16"/>
      <c r="X7" s="46"/>
      <c r="Y7" s="11">
        <f>268/500*100</f>
        <v>53.6</v>
      </c>
      <c r="Z7" s="11"/>
      <c r="AA7" s="68"/>
      <c r="AB7" s="80"/>
      <c r="AC7" s="77"/>
      <c r="AD7" s="81"/>
      <c r="AE7" s="75"/>
      <c r="AF7" s="16"/>
    </row>
    <row r="8" spans="1:32" x14ac:dyDescent="0.2">
      <c r="A8" s="13" t="s">
        <v>124</v>
      </c>
      <c r="B8" s="11">
        <f>市售产品!J4</f>
        <v>195</v>
      </c>
      <c r="C8" s="16"/>
      <c r="D8" s="16"/>
      <c r="E8" s="16"/>
      <c r="F8" s="16">
        <f>市售产品!J7</f>
        <v>200</v>
      </c>
      <c r="G8" s="16"/>
      <c r="H8" s="16"/>
      <c r="I8" s="16"/>
      <c r="J8" s="11">
        <f>市售产品!J9</f>
        <v>238.54166666666666</v>
      </c>
      <c r="K8" s="16"/>
      <c r="L8" s="16"/>
      <c r="M8" s="16"/>
      <c r="N8" s="16"/>
      <c r="O8" s="20"/>
      <c r="P8" s="16"/>
      <c r="Q8" s="16"/>
      <c r="R8" s="16"/>
      <c r="S8" s="11">
        <v>48</v>
      </c>
      <c r="T8" s="16">
        <v>108</v>
      </c>
      <c r="U8" s="16"/>
      <c r="V8" s="16">
        <v>140</v>
      </c>
      <c r="W8" s="16">
        <v>74</v>
      </c>
      <c r="X8" s="47">
        <v>50</v>
      </c>
      <c r="Y8" s="16"/>
      <c r="Z8" s="11">
        <f>319/300*100</f>
        <v>106.33333333333333</v>
      </c>
      <c r="AA8" s="68">
        <v>398</v>
      </c>
      <c r="AB8" s="80"/>
      <c r="AC8" s="77"/>
      <c r="AD8" s="81"/>
      <c r="AE8" s="76">
        <f>71.4/50*7.8574</f>
        <v>11.220367200000002</v>
      </c>
      <c r="AF8" s="16"/>
    </row>
    <row r="9" spans="1:32" x14ac:dyDescent="0.2">
      <c r="A9" s="13" t="s">
        <v>18</v>
      </c>
      <c r="B9" s="16">
        <v>1578</v>
      </c>
      <c r="C9" s="16">
        <v>100</v>
      </c>
      <c r="D9" s="16"/>
      <c r="E9" s="16"/>
      <c r="F9" s="16">
        <v>1559</v>
      </c>
      <c r="G9" s="16">
        <v>100</v>
      </c>
      <c r="H9" s="16">
        <v>1380</v>
      </c>
      <c r="I9" s="16">
        <v>100</v>
      </c>
      <c r="J9" s="16"/>
      <c r="K9" s="16"/>
      <c r="L9" s="16"/>
      <c r="M9" s="16"/>
      <c r="N9" s="16"/>
      <c r="O9" s="16">
        <v>1581</v>
      </c>
      <c r="P9" s="16">
        <v>1532</v>
      </c>
      <c r="Q9" s="16">
        <v>1695</v>
      </c>
      <c r="R9" s="16">
        <v>1740</v>
      </c>
      <c r="S9" s="16">
        <v>1864</v>
      </c>
      <c r="T9" s="16">
        <v>2157</v>
      </c>
      <c r="U9" s="16">
        <v>1599.12</v>
      </c>
      <c r="V9" s="16">
        <v>1580</v>
      </c>
      <c r="W9" s="16">
        <v>1586</v>
      </c>
      <c r="X9" s="47">
        <v>2041</v>
      </c>
      <c r="Y9" s="16">
        <v>1875</v>
      </c>
      <c r="Z9" s="16">
        <v>1589</v>
      </c>
      <c r="AA9" s="69">
        <v>1548</v>
      </c>
      <c r="AB9" s="21"/>
      <c r="AC9" s="78">
        <v>1602</v>
      </c>
      <c r="AD9" s="81">
        <v>100</v>
      </c>
      <c r="AE9" s="75">
        <v>335</v>
      </c>
      <c r="AF9" s="16">
        <v>837</v>
      </c>
    </row>
    <row r="10" spans="1:32" x14ac:dyDescent="0.2">
      <c r="A10" s="13" t="s">
        <v>198</v>
      </c>
      <c r="B10" s="16"/>
      <c r="C10" s="16"/>
      <c r="D10" s="16"/>
      <c r="E10" s="16"/>
      <c r="F10" s="16"/>
      <c r="G10" s="16"/>
      <c r="H10" s="16"/>
      <c r="I10" s="16"/>
      <c r="J10" s="16"/>
      <c r="K10" s="16"/>
      <c r="L10" s="16"/>
      <c r="M10" s="16"/>
      <c r="N10" s="16"/>
      <c r="O10" s="16"/>
      <c r="P10" s="16"/>
      <c r="Q10" s="16"/>
      <c r="R10" s="16"/>
      <c r="S10" s="16"/>
      <c r="T10" s="16"/>
      <c r="U10" s="16"/>
      <c r="V10" s="16"/>
      <c r="W10" s="16"/>
      <c r="X10" s="47"/>
      <c r="Y10" s="16"/>
      <c r="Z10" s="16"/>
      <c r="AA10" s="69"/>
      <c r="AB10" s="21"/>
      <c r="AC10" s="78"/>
      <c r="AD10" s="81"/>
      <c r="AE10" s="75">
        <v>80</v>
      </c>
      <c r="AF10" s="16">
        <v>200</v>
      </c>
    </row>
    <row r="11" spans="1:32" x14ac:dyDescent="0.2">
      <c r="A11" s="17" t="s">
        <v>19</v>
      </c>
      <c r="B11" s="16">
        <v>77.3</v>
      </c>
      <c r="C11" s="16">
        <v>4.9000000000000004</v>
      </c>
      <c r="D11" s="16"/>
      <c r="E11" s="16"/>
      <c r="F11" s="19">
        <v>87</v>
      </c>
      <c r="G11" s="16">
        <v>5.6</v>
      </c>
      <c r="H11" s="16">
        <v>80</v>
      </c>
      <c r="I11" s="16">
        <v>5.8</v>
      </c>
      <c r="J11" s="16">
        <v>86</v>
      </c>
      <c r="K11" s="16"/>
      <c r="L11" s="16">
        <v>56</v>
      </c>
      <c r="M11" s="16">
        <v>80</v>
      </c>
      <c r="N11" s="16">
        <v>80</v>
      </c>
      <c r="O11" s="16">
        <v>90</v>
      </c>
      <c r="P11" s="19">
        <v>75</v>
      </c>
      <c r="Q11" s="16">
        <v>75.3</v>
      </c>
      <c r="R11" s="16">
        <v>82</v>
      </c>
      <c r="S11" s="16">
        <v>20.5</v>
      </c>
      <c r="T11" s="16">
        <v>22.3</v>
      </c>
      <c r="U11" s="53">
        <v>86.2</v>
      </c>
      <c r="V11" s="53">
        <v>80</v>
      </c>
      <c r="W11" s="53">
        <v>86</v>
      </c>
      <c r="X11" s="47">
        <v>15.2</v>
      </c>
      <c r="Y11" s="19">
        <v>21</v>
      </c>
      <c r="Z11" s="54">
        <v>80</v>
      </c>
      <c r="AA11" s="70">
        <v>90</v>
      </c>
      <c r="AB11" s="21"/>
      <c r="AC11" s="78">
        <v>92</v>
      </c>
      <c r="AD11" s="82">
        <f>100*AC11/AC$9</f>
        <v>5.7428214731585516</v>
      </c>
      <c r="AE11" s="75">
        <v>20</v>
      </c>
      <c r="AF11" s="16">
        <v>50</v>
      </c>
    </row>
    <row r="12" spans="1:32" x14ac:dyDescent="0.2">
      <c r="A12" s="13" t="s">
        <v>20</v>
      </c>
      <c r="B12" s="16">
        <v>3.7</v>
      </c>
      <c r="C12" s="16">
        <v>0.2</v>
      </c>
      <c r="D12" s="16"/>
      <c r="E12" s="16"/>
      <c r="F12" s="19">
        <v>1</v>
      </c>
      <c r="G12" s="16">
        <v>0.1</v>
      </c>
      <c r="H12" s="16">
        <v>0</v>
      </c>
      <c r="I12" s="16">
        <v>0</v>
      </c>
      <c r="J12" s="16"/>
      <c r="K12" s="16"/>
      <c r="L12" s="16"/>
      <c r="M12" s="16"/>
      <c r="N12" s="16"/>
      <c r="O12" s="16">
        <v>0</v>
      </c>
      <c r="P12" s="19">
        <v>0.5</v>
      </c>
      <c r="Q12" s="16">
        <v>7.4</v>
      </c>
      <c r="R12" s="16">
        <v>7.5</v>
      </c>
      <c r="S12" s="16">
        <v>16.100000000000001</v>
      </c>
      <c r="T12" s="16">
        <v>26.1</v>
      </c>
      <c r="U12" s="16">
        <v>2.15</v>
      </c>
      <c r="V12" s="16">
        <v>4</v>
      </c>
      <c r="W12" s="16">
        <v>0</v>
      </c>
      <c r="X12" s="47">
        <v>17.600000000000001</v>
      </c>
      <c r="Y12" s="19">
        <v>17</v>
      </c>
      <c r="Z12" s="16">
        <v>0.9</v>
      </c>
      <c r="AA12" s="69">
        <v>0.2</v>
      </c>
      <c r="AB12" s="21"/>
      <c r="AC12" s="78">
        <v>0.9</v>
      </c>
      <c r="AD12" s="82">
        <f t="shared" ref="AD12:AD20" si="0">100*AC12/AC$9</f>
        <v>5.6179775280898875E-2</v>
      </c>
      <c r="AE12" s="75" t="s">
        <v>199</v>
      </c>
      <c r="AF12" s="16" t="s">
        <v>199</v>
      </c>
    </row>
    <row r="13" spans="1:32" x14ac:dyDescent="0.2">
      <c r="A13" s="38" t="s">
        <v>319</v>
      </c>
      <c r="B13" s="16"/>
      <c r="C13" s="16"/>
      <c r="D13" s="16"/>
      <c r="E13" s="16"/>
      <c r="F13" s="16"/>
      <c r="G13" s="16"/>
      <c r="H13" s="16"/>
      <c r="I13" s="16"/>
      <c r="J13" s="16"/>
      <c r="K13" s="16"/>
      <c r="L13" s="16"/>
      <c r="M13" s="16"/>
      <c r="N13" s="16"/>
      <c r="O13" s="16"/>
      <c r="P13" s="16"/>
      <c r="Q13" s="16"/>
      <c r="R13" s="19">
        <v>5</v>
      </c>
      <c r="S13" s="19"/>
      <c r="T13" s="19"/>
      <c r="U13" s="25"/>
      <c r="V13" s="19"/>
      <c r="W13" s="16"/>
      <c r="X13" s="48"/>
      <c r="Y13" s="19"/>
      <c r="Z13" s="19"/>
      <c r="AA13" s="71"/>
      <c r="AB13" s="21"/>
      <c r="AC13" s="78">
        <v>0.4</v>
      </c>
      <c r="AD13" s="82">
        <f>100*AC13/AC$9</f>
        <v>2.4968789013732832E-2</v>
      </c>
      <c r="AE13" s="75"/>
      <c r="AF13" s="16"/>
    </row>
    <row r="14" spans="1:32" x14ac:dyDescent="0.2">
      <c r="A14" s="38" t="s">
        <v>317</v>
      </c>
      <c r="B14" s="16"/>
      <c r="C14" s="16"/>
      <c r="D14" s="16"/>
      <c r="E14" s="16"/>
      <c r="F14" s="19"/>
      <c r="G14" s="16"/>
      <c r="H14" s="16"/>
      <c r="I14" s="16"/>
      <c r="J14" s="16"/>
      <c r="K14" s="16"/>
      <c r="L14" s="16"/>
      <c r="M14" s="16"/>
      <c r="N14" s="16"/>
      <c r="O14" s="16"/>
      <c r="P14" s="19"/>
      <c r="Q14" s="16"/>
      <c r="R14" s="16"/>
      <c r="S14" s="16"/>
      <c r="T14" s="16">
        <v>0</v>
      </c>
      <c r="U14" s="16"/>
      <c r="V14" s="16"/>
      <c r="W14" s="16"/>
      <c r="X14" s="47">
        <v>0</v>
      </c>
      <c r="Y14" s="19">
        <v>0</v>
      </c>
      <c r="Z14" s="16"/>
      <c r="AA14" s="69"/>
      <c r="AB14" s="21"/>
      <c r="AC14" s="78">
        <v>0.02</v>
      </c>
      <c r="AD14" s="82">
        <f t="shared" si="0"/>
        <v>1.2484394506866417E-3</v>
      </c>
      <c r="AE14" s="75"/>
      <c r="AF14" s="16"/>
    </row>
    <row r="15" spans="1:32" x14ac:dyDescent="0.2">
      <c r="A15" s="13" t="s">
        <v>21</v>
      </c>
      <c r="B15" s="16">
        <v>7.4</v>
      </c>
      <c r="C15" s="16">
        <v>0.5</v>
      </c>
      <c r="D15" s="16"/>
      <c r="E15" s="16"/>
      <c r="F15" s="16">
        <v>2.5</v>
      </c>
      <c r="G15" s="16">
        <v>0.2</v>
      </c>
      <c r="H15" s="16">
        <v>1.2</v>
      </c>
      <c r="I15" s="16">
        <v>0.1</v>
      </c>
      <c r="J15" s="16"/>
      <c r="K15" s="16"/>
      <c r="L15" s="16"/>
      <c r="M15" s="16"/>
      <c r="N15" s="16"/>
      <c r="O15" s="16">
        <v>2.5</v>
      </c>
      <c r="P15" s="19">
        <v>14</v>
      </c>
      <c r="Q15" s="16">
        <v>8.3000000000000007</v>
      </c>
      <c r="R15" s="19">
        <v>4</v>
      </c>
      <c r="S15" s="19">
        <v>51.5</v>
      </c>
      <c r="T15" s="19">
        <v>46</v>
      </c>
      <c r="U15" s="19">
        <v>2.59</v>
      </c>
      <c r="V15" s="19">
        <v>4</v>
      </c>
      <c r="W15" s="16">
        <v>7.3</v>
      </c>
      <c r="X15" s="48">
        <v>63.8</v>
      </c>
      <c r="Y15" s="19">
        <v>49</v>
      </c>
      <c r="Z15" s="19">
        <v>11.2</v>
      </c>
      <c r="AA15" s="71">
        <v>0.6</v>
      </c>
      <c r="AB15" s="21"/>
      <c r="AC15" s="78">
        <v>0.3</v>
      </c>
      <c r="AD15" s="82">
        <f t="shared" si="0"/>
        <v>1.8726591760299626E-2</v>
      </c>
      <c r="AE15" s="75">
        <v>0</v>
      </c>
      <c r="AF15" s="16">
        <v>0</v>
      </c>
    </row>
    <row r="16" spans="1:32" x14ac:dyDescent="0.2">
      <c r="A16" s="13" t="s">
        <v>22</v>
      </c>
      <c r="B16" s="16">
        <v>268</v>
      </c>
      <c r="C16" s="16">
        <v>17</v>
      </c>
      <c r="D16" s="16"/>
      <c r="E16" s="16"/>
      <c r="F16" s="16">
        <v>110</v>
      </c>
      <c r="G16" s="16">
        <v>7</v>
      </c>
      <c r="H16" s="16">
        <v>1110</v>
      </c>
      <c r="I16" s="16">
        <v>80.400000000000006</v>
      </c>
      <c r="J16" s="16"/>
      <c r="K16" s="16"/>
      <c r="L16" s="16"/>
      <c r="M16" s="16"/>
      <c r="N16" s="16"/>
      <c r="O16" s="16">
        <v>200</v>
      </c>
      <c r="P16" s="16">
        <v>135</v>
      </c>
      <c r="Q16" s="16">
        <v>361</v>
      </c>
      <c r="R16" s="16">
        <v>50</v>
      </c>
      <c r="S16" s="16">
        <v>128</v>
      </c>
      <c r="T16" s="16">
        <v>346</v>
      </c>
      <c r="U16" s="16">
        <v>362.07</v>
      </c>
      <c r="V16" s="16">
        <v>630</v>
      </c>
      <c r="W16" s="16">
        <v>579</v>
      </c>
      <c r="X16" s="47">
        <v>70</v>
      </c>
      <c r="Y16" s="11">
        <v>202</v>
      </c>
      <c r="Z16" s="16">
        <v>539</v>
      </c>
      <c r="AA16" s="69">
        <v>80</v>
      </c>
      <c r="AB16" s="21"/>
      <c r="AC16" s="78">
        <v>539</v>
      </c>
      <c r="AD16" s="82">
        <f t="shared" si="0"/>
        <v>33.64544319600499</v>
      </c>
      <c r="AE16" s="75">
        <v>117</v>
      </c>
      <c r="AF16" s="16">
        <v>293</v>
      </c>
    </row>
    <row r="17" spans="1:32" x14ac:dyDescent="0.2">
      <c r="A17" s="13" t="s">
        <v>23</v>
      </c>
      <c r="B17" s="16">
        <v>471</v>
      </c>
      <c r="C17" s="16">
        <v>30</v>
      </c>
      <c r="D17" s="16" t="s">
        <v>318</v>
      </c>
      <c r="E17" s="16"/>
      <c r="F17" s="16" t="s">
        <v>318</v>
      </c>
      <c r="G17" s="16"/>
      <c r="H17" s="16" t="s">
        <v>318</v>
      </c>
      <c r="I17" s="16"/>
      <c r="J17" s="16">
        <f>市售产品!N9</f>
        <v>14</v>
      </c>
      <c r="K17" s="16"/>
      <c r="L17" s="16"/>
      <c r="M17" s="16"/>
      <c r="N17" s="16"/>
      <c r="O17" s="16">
        <v>400</v>
      </c>
      <c r="P17" s="16"/>
      <c r="Q17" s="16"/>
      <c r="R17" s="16"/>
      <c r="S17" s="16">
        <v>0</v>
      </c>
      <c r="T17" s="16">
        <v>222</v>
      </c>
      <c r="U17" s="41">
        <f>78.8/23.2*100</f>
        <v>339.65517241379308</v>
      </c>
      <c r="V17" s="40">
        <v>20</v>
      </c>
      <c r="W17" s="40">
        <v>21</v>
      </c>
      <c r="X17" s="47">
        <v>160</v>
      </c>
      <c r="Y17" s="41">
        <v>0</v>
      </c>
      <c r="Z17" s="40">
        <v>32</v>
      </c>
      <c r="AA17" s="72"/>
      <c r="AB17" s="21"/>
      <c r="AC17" s="78">
        <v>33</v>
      </c>
      <c r="AD17" s="82">
        <f t="shared" si="0"/>
        <v>2.0599250936329589</v>
      </c>
      <c r="AE17" s="75" t="s">
        <v>204</v>
      </c>
      <c r="AF17" s="16">
        <v>33</v>
      </c>
    </row>
    <row r="18" spans="1:32" x14ac:dyDescent="0.2">
      <c r="A18" s="13" t="s">
        <v>40</v>
      </c>
      <c r="B18" s="16"/>
      <c r="C18" s="16"/>
      <c r="D18" s="16" t="s">
        <v>318</v>
      </c>
      <c r="E18" s="16"/>
      <c r="F18" s="16" t="s">
        <v>318</v>
      </c>
      <c r="G18" s="16"/>
      <c r="H18" s="16" t="s">
        <v>318</v>
      </c>
      <c r="I18" s="16"/>
      <c r="J18" s="65">
        <f>市售产品!M9</f>
        <v>159.96</v>
      </c>
      <c r="K18" s="16"/>
      <c r="L18" s="16"/>
      <c r="M18" s="16"/>
      <c r="N18" s="16"/>
      <c r="O18" s="16">
        <v>220</v>
      </c>
      <c r="P18" s="16"/>
      <c r="Q18" s="16"/>
      <c r="R18" s="16"/>
      <c r="S18" s="16">
        <v>0</v>
      </c>
      <c r="T18" s="16">
        <v>142</v>
      </c>
      <c r="U18" s="40">
        <f>58/23.2*100</f>
        <v>250</v>
      </c>
      <c r="V18" s="40">
        <v>90</v>
      </c>
      <c r="W18" s="40">
        <v>24</v>
      </c>
      <c r="X18" s="47">
        <v>70</v>
      </c>
      <c r="Y18" s="41">
        <v>0</v>
      </c>
      <c r="Z18" s="40">
        <v>36</v>
      </c>
      <c r="AA18" s="72"/>
      <c r="AB18" s="21"/>
      <c r="AC18" s="78">
        <v>36</v>
      </c>
      <c r="AD18" s="82">
        <f t="shared" si="0"/>
        <v>2.2471910112359552</v>
      </c>
      <c r="AE18" s="75" t="s">
        <v>203</v>
      </c>
      <c r="AF18" s="16">
        <v>400</v>
      </c>
    </row>
    <row r="19" spans="1:32" x14ac:dyDescent="0.2">
      <c r="A19" s="13" t="s">
        <v>41</v>
      </c>
      <c r="B19" s="16"/>
      <c r="C19" s="16"/>
      <c r="D19" s="16"/>
      <c r="E19" s="16"/>
      <c r="F19" s="16"/>
      <c r="G19" s="16"/>
      <c r="H19" s="16"/>
      <c r="I19" s="16"/>
      <c r="J19" s="16"/>
      <c r="K19" s="16"/>
      <c r="L19" s="16"/>
      <c r="M19" s="16"/>
      <c r="N19" s="16"/>
      <c r="O19" s="16"/>
      <c r="P19" s="16">
        <v>645</v>
      </c>
      <c r="Q19" s="16"/>
      <c r="R19" s="16"/>
      <c r="S19" s="16"/>
      <c r="T19" s="16">
        <v>255</v>
      </c>
      <c r="U19" s="24"/>
      <c r="V19" s="16"/>
      <c r="W19" s="16"/>
      <c r="X19" s="47">
        <v>244</v>
      </c>
      <c r="Y19" s="11">
        <v>250</v>
      </c>
      <c r="Z19" s="16"/>
      <c r="AA19" s="69"/>
      <c r="AB19" s="21"/>
      <c r="AC19" s="78">
        <v>79</v>
      </c>
      <c r="AD19" s="82">
        <f t="shared" si="0"/>
        <v>4.9313358302122348</v>
      </c>
      <c r="AE19" s="75">
        <v>47</v>
      </c>
      <c r="AF19" s="16">
        <v>118</v>
      </c>
    </row>
    <row r="20" spans="1:32" x14ac:dyDescent="0.2">
      <c r="A20" s="13" t="s">
        <v>200</v>
      </c>
      <c r="B20" s="16"/>
      <c r="C20" s="16"/>
      <c r="D20" s="16"/>
      <c r="E20" s="16"/>
      <c r="F20" s="16"/>
      <c r="G20" s="16"/>
      <c r="H20" s="16"/>
      <c r="I20" s="16"/>
      <c r="J20" s="16"/>
      <c r="K20" s="16"/>
      <c r="L20" s="16"/>
      <c r="M20" s="16"/>
      <c r="N20" s="16"/>
      <c r="O20" s="16"/>
      <c r="P20" s="16"/>
      <c r="Q20" s="16"/>
      <c r="R20" s="16"/>
      <c r="S20" s="16">
        <v>144</v>
      </c>
      <c r="T20" s="16"/>
      <c r="U20" s="24"/>
      <c r="V20" s="16"/>
      <c r="W20" s="16"/>
      <c r="X20" s="47">
        <v>108</v>
      </c>
      <c r="Y20" s="11">
        <v>130</v>
      </c>
      <c r="Z20" s="16"/>
      <c r="AA20" s="69"/>
      <c r="AB20" s="21"/>
      <c r="AC20" s="78">
        <v>10</v>
      </c>
      <c r="AD20" s="82">
        <f t="shared" si="0"/>
        <v>0.62421972534332082</v>
      </c>
      <c r="AE20" s="75">
        <v>2.5</v>
      </c>
      <c r="AF20" s="16">
        <v>6.25</v>
      </c>
    </row>
    <row r="21" spans="1:32" x14ac:dyDescent="0.2">
      <c r="A21" s="13" t="s">
        <v>15</v>
      </c>
      <c r="B21" s="16">
        <v>87.09</v>
      </c>
      <c r="C21" s="16">
        <v>87.09</v>
      </c>
      <c r="D21" s="16"/>
      <c r="E21" s="16"/>
      <c r="F21" s="16"/>
      <c r="G21" s="16"/>
      <c r="H21" s="16">
        <v>110</v>
      </c>
      <c r="I21" s="16">
        <v>110</v>
      </c>
      <c r="J21" s="16"/>
      <c r="K21" s="16"/>
      <c r="L21" s="16"/>
      <c r="M21" s="16"/>
      <c r="N21" s="16"/>
      <c r="O21" s="16"/>
      <c r="P21" s="16"/>
      <c r="Q21" s="16"/>
      <c r="R21" s="16"/>
      <c r="S21" s="16"/>
      <c r="T21" s="16"/>
      <c r="U21" s="24"/>
      <c r="V21" s="16"/>
      <c r="W21" s="16"/>
      <c r="X21" s="47"/>
      <c r="Y21" s="19"/>
      <c r="Z21" s="16"/>
      <c r="AA21" s="69"/>
      <c r="AB21" s="35"/>
      <c r="AC21" s="79">
        <v>1</v>
      </c>
      <c r="AD21" s="82">
        <f>AC21</f>
        <v>1</v>
      </c>
      <c r="AE21" s="75"/>
      <c r="AF21" s="16"/>
    </row>
    <row r="22" spans="1:32" x14ac:dyDescent="0.2">
      <c r="A22" s="13" t="s">
        <v>34</v>
      </c>
      <c r="B22" s="20">
        <v>0.83</v>
      </c>
      <c r="C22" s="20">
        <v>0.83</v>
      </c>
      <c r="D22" s="16"/>
      <c r="E22" s="16"/>
      <c r="F22" s="20">
        <v>0.93</v>
      </c>
      <c r="G22" s="20"/>
      <c r="H22" s="20">
        <v>0.97</v>
      </c>
      <c r="I22" s="20"/>
      <c r="J22" s="20"/>
      <c r="K22" s="20"/>
      <c r="L22" s="16"/>
      <c r="M22" s="16"/>
      <c r="N22" s="16"/>
      <c r="O22" s="16"/>
      <c r="P22" s="16"/>
      <c r="Q22" s="16"/>
      <c r="R22" s="20"/>
      <c r="S22" s="20"/>
      <c r="T22" s="20"/>
      <c r="U22" s="26"/>
      <c r="V22" s="20"/>
      <c r="W22" s="16"/>
      <c r="X22" s="49"/>
      <c r="Y22" s="42"/>
      <c r="Z22" s="20"/>
      <c r="AA22" s="73"/>
      <c r="AB22" s="22"/>
      <c r="AC22" s="23">
        <v>0.96083550913838123</v>
      </c>
      <c r="AD22" s="83">
        <f>AC22</f>
        <v>0.96083550913838123</v>
      </c>
      <c r="AE22" s="75"/>
      <c r="AF22" s="16"/>
    </row>
    <row r="23" spans="1:32" x14ac:dyDescent="0.2">
      <c r="A23" s="13" t="s">
        <v>42</v>
      </c>
      <c r="B23" s="20">
        <v>0.09</v>
      </c>
      <c r="C23" s="20">
        <v>0.09</v>
      </c>
      <c r="D23" s="16"/>
      <c r="E23" s="16"/>
      <c r="F23" s="20">
        <v>0.02</v>
      </c>
      <c r="G23" s="20"/>
      <c r="H23" s="20">
        <v>0</v>
      </c>
      <c r="I23" s="20"/>
      <c r="J23" s="20"/>
      <c r="K23" s="20"/>
      <c r="L23" s="16"/>
      <c r="M23" s="16"/>
      <c r="N23" s="16"/>
      <c r="O23" s="16"/>
      <c r="P23" s="16"/>
      <c r="Q23" s="16"/>
      <c r="R23" s="20"/>
      <c r="S23" s="20"/>
      <c r="T23" s="20"/>
      <c r="U23" s="26"/>
      <c r="V23" s="20"/>
      <c r="W23" s="16"/>
      <c r="X23" s="49"/>
      <c r="Y23" s="42"/>
      <c r="Z23" s="20"/>
      <c r="AA23" s="73"/>
      <c r="AB23" s="22"/>
      <c r="AC23" s="23">
        <v>2.114882506527415E-2</v>
      </c>
      <c r="AD23" s="83">
        <f t="shared" ref="AD23:AD24" si="1">AC23</f>
        <v>2.114882506527415E-2</v>
      </c>
      <c r="AE23" s="75"/>
      <c r="AF23" s="16"/>
    </row>
    <row r="24" spans="1:32" x14ac:dyDescent="0.2">
      <c r="A24" s="13" t="s">
        <v>43</v>
      </c>
      <c r="B24" s="20">
        <v>0.08</v>
      </c>
      <c r="C24" s="20">
        <v>0.08</v>
      </c>
      <c r="D24" s="16"/>
      <c r="E24" s="16"/>
      <c r="F24" s="20">
        <v>0.03</v>
      </c>
      <c r="G24" s="20"/>
      <c r="H24" s="20">
        <v>0.01</v>
      </c>
      <c r="I24" s="20"/>
      <c r="J24" s="20"/>
      <c r="K24" s="20"/>
      <c r="L24" s="16"/>
      <c r="M24" s="16"/>
      <c r="N24" s="16"/>
      <c r="O24" s="16"/>
      <c r="P24" s="16"/>
      <c r="Q24" s="16"/>
      <c r="R24" s="20"/>
      <c r="S24" s="20"/>
      <c r="T24" s="20"/>
      <c r="U24" s="26"/>
      <c r="V24" s="20"/>
      <c r="W24" s="16"/>
      <c r="X24" s="49"/>
      <c r="Y24" s="42"/>
      <c r="Z24" s="20"/>
      <c r="AA24" s="73"/>
      <c r="AB24" s="22"/>
      <c r="AC24" s="23">
        <v>3.1331592689295036E-3</v>
      </c>
      <c r="AD24" s="83">
        <f t="shared" si="1"/>
        <v>3.1331592689295036E-3</v>
      </c>
      <c r="AE24" s="75"/>
      <c r="AF24" s="16"/>
    </row>
    <row r="25" spans="1:32" x14ac:dyDescent="0.2">
      <c r="A25" s="13" t="s">
        <v>35</v>
      </c>
      <c r="B25" s="16" t="s">
        <v>36</v>
      </c>
      <c r="C25" s="16" t="s">
        <v>36</v>
      </c>
      <c r="D25" s="16"/>
      <c r="E25" s="16"/>
      <c r="F25" s="16"/>
      <c r="G25" s="16"/>
      <c r="H25" s="16"/>
      <c r="I25" s="16"/>
      <c r="J25" s="16"/>
      <c r="K25" s="16"/>
      <c r="L25" s="16"/>
      <c r="M25" s="16"/>
      <c r="N25" s="16"/>
      <c r="O25" s="16"/>
      <c r="P25" s="16"/>
      <c r="Q25" s="16"/>
      <c r="R25" s="16"/>
      <c r="S25" s="16"/>
      <c r="T25" s="16"/>
      <c r="U25" s="24"/>
      <c r="V25" s="16"/>
      <c r="W25" s="16"/>
      <c r="X25" s="47"/>
      <c r="Y25" s="19"/>
      <c r="Z25" s="16"/>
      <c r="AA25" s="69"/>
      <c r="AB25" s="21"/>
      <c r="AC25" s="78">
        <v>0.3</v>
      </c>
      <c r="AD25" s="82">
        <f t="shared" ref="AD25:AD26" si="2">100*AC25/AC$9</f>
        <v>1.8726591760299626E-2</v>
      </c>
      <c r="AE25" s="75"/>
      <c r="AF25" s="16"/>
    </row>
    <row r="26" spans="1:32" x14ac:dyDescent="0.2">
      <c r="A26" s="13" t="s">
        <v>191</v>
      </c>
      <c r="B26" s="16"/>
      <c r="C26" s="16"/>
      <c r="D26" s="16"/>
      <c r="E26" s="16"/>
      <c r="F26" s="16"/>
      <c r="G26" s="16"/>
      <c r="H26" s="16"/>
      <c r="I26" s="16"/>
      <c r="J26" s="16"/>
      <c r="K26" s="16"/>
      <c r="L26" s="16"/>
      <c r="M26" s="16"/>
      <c r="N26" s="16"/>
      <c r="O26" s="16">
        <v>1</v>
      </c>
      <c r="P26" s="16"/>
      <c r="Q26" s="16"/>
      <c r="R26" s="16"/>
      <c r="S26" s="16">
        <v>5.2</v>
      </c>
      <c r="T26" s="16">
        <v>3.8</v>
      </c>
      <c r="U26" s="24"/>
      <c r="V26" s="16"/>
      <c r="W26" s="16"/>
      <c r="X26" s="47">
        <v>5.8</v>
      </c>
      <c r="Y26" s="19">
        <v>7</v>
      </c>
      <c r="Z26" s="16"/>
      <c r="AA26" s="69"/>
      <c r="AB26" s="21"/>
      <c r="AC26" s="78">
        <v>0</v>
      </c>
      <c r="AD26" s="82">
        <f t="shared" si="2"/>
        <v>0</v>
      </c>
      <c r="AE26" s="75"/>
      <c r="AF26" s="16"/>
    </row>
    <row r="27" spans="1:32" x14ac:dyDescent="0.2">
      <c r="A27" s="13" t="s">
        <v>106</v>
      </c>
      <c r="B27" s="16"/>
      <c r="C27" s="16"/>
      <c r="D27" s="16"/>
      <c r="E27" s="16"/>
      <c r="F27" s="16"/>
      <c r="G27" s="16"/>
      <c r="H27" s="16"/>
      <c r="I27" s="16"/>
      <c r="J27" s="16"/>
      <c r="K27" s="16"/>
      <c r="L27" s="16">
        <v>0.5</v>
      </c>
      <c r="M27" s="16"/>
      <c r="N27" s="16"/>
      <c r="O27" s="16"/>
      <c r="P27" s="16"/>
      <c r="Q27" s="16"/>
      <c r="R27" s="16"/>
      <c r="S27" s="16"/>
      <c r="T27" s="16"/>
      <c r="U27" s="24"/>
      <c r="V27" s="16"/>
      <c r="W27" s="16"/>
      <c r="X27" s="47"/>
      <c r="Y27" s="19"/>
      <c r="Z27" s="16"/>
      <c r="AA27" s="69"/>
      <c r="AB27" s="21"/>
      <c r="AC27" s="78"/>
      <c r="AD27" s="81"/>
      <c r="AE27" s="75"/>
      <c r="AF27" s="16"/>
    </row>
    <row r="28" spans="1:32" x14ac:dyDescent="0.2">
      <c r="A28" s="13" t="s">
        <v>109</v>
      </c>
      <c r="B28" s="16"/>
      <c r="C28" s="16"/>
      <c r="D28" s="16"/>
      <c r="E28" s="16"/>
      <c r="F28" s="16"/>
      <c r="G28" s="16"/>
      <c r="H28" s="16"/>
      <c r="I28" s="16"/>
      <c r="J28" s="16"/>
      <c r="K28" s="16"/>
      <c r="L28" s="16"/>
      <c r="M28" s="16"/>
      <c r="N28" s="16"/>
      <c r="O28" s="16"/>
      <c r="P28" s="16">
        <v>650</v>
      </c>
      <c r="Q28" s="16"/>
      <c r="R28" s="16"/>
      <c r="S28" s="16">
        <v>1120</v>
      </c>
      <c r="T28" s="16"/>
      <c r="U28" s="24"/>
      <c r="V28" s="16"/>
      <c r="W28" s="16"/>
      <c r="X28" s="47">
        <v>400</v>
      </c>
      <c r="Y28" s="19"/>
      <c r="Z28" s="16">
        <v>78</v>
      </c>
      <c r="AA28" s="69">
        <v>78</v>
      </c>
      <c r="AB28" s="21"/>
      <c r="AC28" s="78"/>
      <c r="AD28" s="81"/>
      <c r="AE28" s="75"/>
      <c r="AF28" s="16"/>
    </row>
    <row r="29" spans="1:32" x14ac:dyDescent="0.2">
      <c r="A29" s="13" t="s">
        <v>110</v>
      </c>
      <c r="B29" s="16"/>
      <c r="C29" s="16"/>
      <c r="D29" s="16"/>
      <c r="E29" s="16"/>
      <c r="F29" s="16"/>
      <c r="G29" s="16"/>
      <c r="H29" s="16"/>
      <c r="I29" s="16"/>
      <c r="J29" s="16"/>
      <c r="K29" s="16"/>
      <c r="L29" s="16"/>
      <c r="M29" s="16"/>
      <c r="N29" s="16"/>
      <c r="O29" s="16"/>
      <c r="P29" s="19">
        <v>16</v>
      </c>
      <c r="Q29" s="16"/>
      <c r="R29" s="16"/>
      <c r="S29" s="19">
        <v>2</v>
      </c>
      <c r="T29" s="16"/>
      <c r="U29" s="24"/>
      <c r="V29" s="16"/>
      <c r="W29" s="16">
        <v>1.3</v>
      </c>
      <c r="X29" s="47">
        <v>1.9</v>
      </c>
      <c r="Y29" s="19">
        <v>1.2</v>
      </c>
      <c r="Z29" s="16"/>
      <c r="AA29" s="69"/>
      <c r="AB29" s="21"/>
      <c r="AC29" s="78"/>
      <c r="AD29" s="81"/>
      <c r="AE29" s="75"/>
      <c r="AF29" s="16"/>
    </row>
    <row r="30" spans="1:32" x14ac:dyDescent="0.2">
      <c r="A30" s="13" t="s">
        <v>111</v>
      </c>
      <c r="B30" s="16"/>
      <c r="C30" s="16"/>
      <c r="D30" s="16"/>
      <c r="E30" s="16"/>
      <c r="F30" s="16"/>
      <c r="G30" s="16"/>
      <c r="H30" s="16"/>
      <c r="I30" s="16"/>
      <c r="J30" s="16"/>
      <c r="K30" s="16"/>
      <c r="L30" s="16"/>
      <c r="M30" s="16"/>
      <c r="N30" s="16"/>
      <c r="O30" s="16"/>
      <c r="P30" s="16">
        <v>5.33</v>
      </c>
      <c r="Q30" s="16"/>
      <c r="R30" s="16"/>
      <c r="S30" s="16">
        <v>1.73</v>
      </c>
      <c r="T30" s="16"/>
      <c r="U30" s="24"/>
      <c r="V30" s="16"/>
      <c r="W30" s="16"/>
      <c r="X30" s="50">
        <v>1.6</v>
      </c>
      <c r="Y30" s="37">
        <v>1</v>
      </c>
      <c r="Z30" s="37">
        <v>1.9</v>
      </c>
      <c r="AA30" s="74">
        <v>1.9</v>
      </c>
      <c r="AB30" s="21"/>
      <c r="AC30" s="78"/>
      <c r="AD30" s="81"/>
      <c r="AE30" s="75"/>
      <c r="AF30" s="16"/>
    </row>
    <row r="31" spans="1:32" x14ac:dyDescent="0.2">
      <c r="A31" s="13" t="s">
        <v>112</v>
      </c>
      <c r="B31" s="16"/>
      <c r="C31" s="16"/>
      <c r="D31" s="16"/>
      <c r="E31" s="16"/>
      <c r="F31" s="16"/>
      <c r="G31" s="16"/>
      <c r="H31" s="16"/>
      <c r="I31" s="16"/>
      <c r="J31" s="16"/>
      <c r="K31" s="16"/>
      <c r="L31" s="16"/>
      <c r="M31" s="16"/>
      <c r="N31" s="16"/>
      <c r="O31" s="16"/>
      <c r="P31" s="16">
        <v>2.67</v>
      </c>
      <c r="Q31" s="16"/>
      <c r="R31" s="16"/>
      <c r="S31" s="16"/>
      <c r="T31" s="16"/>
      <c r="U31" s="16"/>
      <c r="V31" s="16"/>
      <c r="W31" s="16"/>
      <c r="X31" s="50">
        <v>0.9</v>
      </c>
      <c r="Y31" s="37">
        <v>0.9</v>
      </c>
      <c r="Z31" s="16">
        <v>2.12</v>
      </c>
      <c r="AA31" s="69">
        <v>2.12</v>
      </c>
      <c r="AB31" s="21"/>
      <c r="AC31" s="78"/>
      <c r="AD31" s="81"/>
      <c r="AE31" s="75"/>
      <c r="AF31" s="16"/>
    </row>
    <row r="32" spans="1:32" x14ac:dyDescent="0.2">
      <c r="A32" s="13" t="s">
        <v>113</v>
      </c>
      <c r="B32" s="16"/>
      <c r="C32" s="16"/>
      <c r="D32" s="16"/>
      <c r="E32" s="16"/>
      <c r="F32" s="16"/>
      <c r="G32" s="16"/>
      <c r="H32" s="16"/>
      <c r="I32" s="16"/>
      <c r="J32" s="16"/>
      <c r="K32" s="16"/>
      <c r="L32" s="16"/>
      <c r="M32" s="16"/>
      <c r="N32" s="16"/>
      <c r="O32" s="16"/>
      <c r="P32" s="16">
        <v>2.67</v>
      </c>
      <c r="Q32" s="16"/>
      <c r="R32" s="16"/>
      <c r="S32" s="16">
        <v>1.99</v>
      </c>
      <c r="T32" s="16"/>
      <c r="U32" s="16"/>
      <c r="V32" s="16">
        <v>0.12</v>
      </c>
      <c r="W32" s="16"/>
      <c r="X32" s="47">
        <v>1.75</v>
      </c>
      <c r="Y32" s="37">
        <v>1</v>
      </c>
      <c r="Z32" s="16">
        <v>1.98</v>
      </c>
      <c r="AA32" s="69">
        <v>1.98</v>
      </c>
      <c r="AB32" s="21"/>
      <c r="AC32" s="78"/>
      <c r="AD32" s="81"/>
      <c r="AE32" s="75"/>
      <c r="AF32" s="16"/>
    </row>
    <row r="33" spans="1:32" x14ac:dyDescent="0.2">
      <c r="A33" s="13" t="s">
        <v>315</v>
      </c>
      <c r="B33" s="16"/>
      <c r="C33" s="16"/>
      <c r="D33" s="16"/>
      <c r="E33" s="16"/>
      <c r="F33" s="16"/>
      <c r="G33" s="16"/>
      <c r="H33" s="16"/>
      <c r="I33" s="16"/>
      <c r="J33" s="16"/>
      <c r="K33" s="16"/>
      <c r="L33" s="16"/>
      <c r="M33" s="16"/>
      <c r="N33" s="16"/>
      <c r="O33" s="16"/>
      <c r="P33" s="16"/>
      <c r="Q33" s="16"/>
      <c r="R33" s="16"/>
      <c r="S33" s="16">
        <v>4.99</v>
      </c>
      <c r="T33" s="37">
        <v>2.7</v>
      </c>
      <c r="U33" s="16"/>
      <c r="V33" s="16"/>
      <c r="W33" s="16"/>
      <c r="X33" s="50">
        <v>1.8</v>
      </c>
      <c r="Y33" s="37">
        <v>2</v>
      </c>
      <c r="Z33" s="16"/>
      <c r="AA33" s="69"/>
      <c r="AB33" s="21"/>
      <c r="AC33" s="78"/>
      <c r="AD33" s="81"/>
      <c r="AE33" s="75"/>
      <c r="AF33" s="16"/>
    </row>
    <row r="34" spans="1:32" x14ac:dyDescent="0.2">
      <c r="A34" s="13" t="s">
        <v>320</v>
      </c>
      <c r="B34" s="16"/>
      <c r="C34" s="16"/>
      <c r="D34" s="16"/>
      <c r="E34" s="16"/>
      <c r="F34" s="16"/>
      <c r="G34" s="16"/>
      <c r="H34" s="16"/>
      <c r="I34" s="16"/>
      <c r="J34" s="16"/>
      <c r="K34" s="16"/>
      <c r="L34" s="16"/>
      <c r="M34" s="16"/>
      <c r="N34" s="16"/>
      <c r="O34" s="16"/>
      <c r="P34" s="19"/>
      <c r="Q34" s="16"/>
      <c r="R34" s="16"/>
      <c r="S34" s="19">
        <v>210</v>
      </c>
      <c r="T34" s="16"/>
      <c r="U34" s="24"/>
      <c r="V34" s="16"/>
      <c r="W34" s="16"/>
      <c r="X34" s="48">
        <v>104</v>
      </c>
      <c r="Y34" s="19"/>
      <c r="Z34" s="19">
        <v>123</v>
      </c>
      <c r="AA34" s="71">
        <v>123</v>
      </c>
      <c r="AB34" s="21"/>
      <c r="AC34" s="78"/>
      <c r="AD34" s="81"/>
      <c r="AE34" s="75"/>
      <c r="AF34" s="16"/>
    </row>
    <row r="35" spans="1:32" x14ac:dyDescent="0.2">
      <c r="A35" s="13" t="s">
        <v>314</v>
      </c>
      <c r="B35" s="16"/>
      <c r="C35" s="16"/>
      <c r="D35" s="16"/>
      <c r="E35" s="16"/>
      <c r="F35" s="16"/>
      <c r="G35" s="16"/>
      <c r="H35" s="16"/>
      <c r="I35" s="16"/>
      <c r="J35" s="16"/>
      <c r="K35" s="16"/>
      <c r="L35" s="16"/>
      <c r="M35" s="16"/>
      <c r="N35" s="16"/>
      <c r="O35" s="16"/>
      <c r="P35" s="16"/>
      <c r="Q35" s="16"/>
      <c r="R35" s="16"/>
      <c r="S35" s="16">
        <v>13.51</v>
      </c>
      <c r="T35" s="37">
        <v>18</v>
      </c>
      <c r="U35" s="16"/>
      <c r="V35" s="16"/>
      <c r="W35" s="16"/>
      <c r="X35" s="47"/>
      <c r="Y35" s="37">
        <v>10</v>
      </c>
      <c r="Z35" s="16"/>
      <c r="AA35" s="69"/>
      <c r="AB35" s="21"/>
      <c r="AC35" s="78"/>
      <c r="AD35" s="81"/>
      <c r="AE35" s="75"/>
      <c r="AF35" s="16"/>
    </row>
    <row r="36" spans="1:32" x14ac:dyDescent="0.2">
      <c r="A36" s="13" t="s">
        <v>322</v>
      </c>
      <c r="B36" s="16"/>
      <c r="C36" s="16"/>
      <c r="D36" s="16"/>
      <c r="E36" s="16"/>
      <c r="F36" s="16"/>
      <c r="G36" s="16"/>
      <c r="H36" s="16"/>
      <c r="I36" s="16"/>
      <c r="J36" s="16"/>
      <c r="K36" s="16"/>
      <c r="L36" s="16"/>
      <c r="M36" s="16"/>
      <c r="N36" s="16"/>
      <c r="O36" s="16"/>
      <c r="P36" s="16"/>
      <c r="Q36" s="16"/>
      <c r="R36" s="16"/>
      <c r="S36" s="19">
        <v>10</v>
      </c>
      <c r="T36" s="37"/>
      <c r="U36" s="16"/>
      <c r="V36" s="16"/>
      <c r="W36" s="16"/>
      <c r="X36" s="47">
        <v>18.899999999999999</v>
      </c>
      <c r="Y36" s="19">
        <v>10.6</v>
      </c>
      <c r="Z36" s="16">
        <v>16.7</v>
      </c>
      <c r="AA36" s="69">
        <v>16.7</v>
      </c>
      <c r="AB36" s="21"/>
      <c r="AC36" s="78"/>
      <c r="AD36" s="81"/>
      <c r="AE36" s="75"/>
      <c r="AF36" s="16"/>
    </row>
    <row r="37" spans="1:32" x14ac:dyDescent="0.2">
      <c r="A37" s="13" t="s">
        <v>114</v>
      </c>
      <c r="B37" s="16"/>
      <c r="C37" s="16"/>
      <c r="D37" s="16"/>
      <c r="E37" s="16"/>
      <c r="F37" s="16"/>
      <c r="G37" s="16"/>
      <c r="H37" s="16"/>
      <c r="I37" s="16"/>
      <c r="J37" s="16"/>
      <c r="K37" s="16"/>
      <c r="L37" s="16"/>
      <c r="M37" s="16"/>
      <c r="N37" s="16"/>
      <c r="O37" s="16"/>
      <c r="P37" s="16">
        <v>17.91</v>
      </c>
      <c r="Q37" s="16"/>
      <c r="R37" s="16"/>
      <c r="S37" s="16">
        <v>7.24</v>
      </c>
      <c r="T37" s="16">
        <v>7.2</v>
      </c>
      <c r="U37" s="16"/>
      <c r="V37" s="16"/>
      <c r="W37" s="16"/>
      <c r="X37" s="50">
        <v>13.6</v>
      </c>
      <c r="Y37" s="37">
        <v>7</v>
      </c>
      <c r="Z37" s="16">
        <v>15.85</v>
      </c>
      <c r="AA37" s="69">
        <v>15.85</v>
      </c>
      <c r="AB37" s="21"/>
      <c r="AC37" s="78"/>
      <c r="AD37" s="81"/>
      <c r="AE37" s="75"/>
      <c r="AF37" s="16"/>
    </row>
    <row r="38" spans="1:32" x14ac:dyDescent="0.2">
      <c r="A38" s="13" t="s">
        <v>115</v>
      </c>
      <c r="B38" s="16"/>
      <c r="C38" s="16"/>
      <c r="D38" s="16"/>
      <c r="E38" s="16"/>
      <c r="F38" s="16"/>
      <c r="G38" s="16"/>
      <c r="H38" s="16"/>
      <c r="I38" s="16"/>
      <c r="J38" s="16"/>
      <c r="K38" s="16"/>
      <c r="L38" s="16"/>
      <c r="M38" s="16"/>
      <c r="N38" s="16"/>
      <c r="O38" s="16"/>
      <c r="P38" s="16">
        <v>0.1</v>
      </c>
      <c r="Q38" s="16"/>
      <c r="R38" s="16"/>
      <c r="S38" s="16"/>
      <c r="T38" s="16"/>
      <c r="U38" s="16"/>
      <c r="V38" s="16"/>
      <c r="W38" s="16"/>
      <c r="X38" s="47"/>
      <c r="Y38" s="11">
        <v>110</v>
      </c>
      <c r="Z38" s="16">
        <v>127</v>
      </c>
      <c r="AA38" s="69">
        <v>127</v>
      </c>
      <c r="AB38" s="21"/>
      <c r="AC38" s="78"/>
      <c r="AD38" s="81"/>
      <c r="AE38" s="75"/>
      <c r="AF38" s="16"/>
    </row>
    <row r="39" spans="1:32" x14ac:dyDescent="0.2">
      <c r="A39" s="13" t="s">
        <v>326</v>
      </c>
      <c r="B39" s="16"/>
      <c r="C39" s="16"/>
      <c r="D39" s="16"/>
      <c r="E39" s="16"/>
      <c r="F39" s="16"/>
      <c r="G39" s="16"/>
      <c r="H39" s="16"/>
      <c r="I39" s="16"/>
      <c r="J39" s="16"/>
      <c r="K39" s="16"/>
      <c r="L39" s="16"/>
      <c r="M39" s="16"/>
      <c r="N39" s="16"/>
      <c r="O39" s="16"/>
      <c r="P39" s="16"/>
      <c r="Q39" s="16"/>
      <c r="R39" s="16"/>
      <c r="S39" s="16"/>
      <c r="T39" s="16"/>
      <c r="U39" s="16"/>
      <c r="V39" s="16"/>
      <c r="W39" s="16"/>
      <c r="X39" s="47">
        <v>600</v>
      </c>
      <c r="Y39" s="19"/>
      <c r="Z39" s="16"/>
      <c r="AA39" s="69"/>
      <c r="AB39" s="21"/>
      <c r="AC39" s="78"/>
      <c r="AD39" s="81"/>
      <c r="AE39" s="75"/>
      <c r="AF39" s="16"/>
    </row>
    <row r="40" spans="1:32" x14ac:dyDescent="0.2">
      <c r="A40" s="13" t="s">
        <v>325</v>
      </c>
      <c r="B40" s="16"/>
      <c r="C40" s="16"/>
      <c r="D40" s="16"/>
      <c r="E40" s="16"/>
      <c r="F40" s="16"/>
      <c r="G40" s="16"/>
      <c r="H40" s="16"/>
      <c r="I40" s="16"/>
      <c r="J40" s="16"/>
      <c r="K40" s="16"/>
      <c r="L40" s="16"/>
      <c r="M40" s="16"/>
      <c r="N40" s="16"/>
      <c r="O40" s="16"/>
      <c r="P40" s="16"/>
      <c r="Q40" s="16"/>
      <c r="R40" s="16"/>
      <c r="S40" s="16"/>
      <c r="T40" s="16"/>
      <c r="U40" s="16"/>
      <c r="V40" s="16"/>
      <c r="W40" s="16"/>
      <c r="X40" s="50">
        <v>16</v>
      </c>
      <c r="Y40" s="37">
        <v>12</v>
      </c>
      <c r="Z40" s="16">
        <v>27.56</v>
      </c>
      <c r="AA40" s="69">
        <v>27.56</v>
      </c>
      <c r="AB40" s="21"/>
      <c r="AC40" s="78"/>
      <c r="AD40" s="81"/>
      <c r="AE40" s="75"/>
      <c r="AF40" s="16"/>
    </row>
    <row r="41" spans="1:32" x14ac:dyDescent="0.2">
      <c r="A41" s="13" t="s">
        <v>316</v>
      </c>
      <c r="B41" s="16"/>
      <c r="C41" s="16"/>
      <c r="D41" s="16"/>
      <c r="E41" s="16"/>
      <c r="F41" s="16"/>
      <c r="G41" s="16"/>
      <c r="H41" s="16"/>
      <c r="I41" s="16"/>
      <c r="J41" s="16"/>
      <c r="K41" s="16"/>
      <c r="L41" s="16"/>
      <c r="M41" s="16"/>
      <c r="N41" s="16"/>
      <c r="O41" s="16"/>
      <c r="P41" s="16"/>
      <c r="Q41" s="16"/>
      <c r="R41" s="16"/>
      <c r="S41" s="16">
        <v>170</v>
      </c>
      <c r="T41" s="16">
        <v>294</v>
      </c>
      <c r="U41" s="16"/>
      <c r="V41" s="16"/>
      <c r="W41" s="16"/>
      <c r="X41" s="47">
        <v>440</v>
      </c>
      <c r="Y41" s="11">
        <v>355</v>
      </c>
      <c r="Z41" s="16">
        <v>476</v>
      </c>
      <c r="AA41" s="69">
        <v>476</v>
      </c>
      <c r="AB41" s="21"/>
      <c r="AC41" s="78"/>
      <c r="AD41" s="81"/>
      <c r="AE41" s="75"/>
      <c r="AF41" s="16"/>
    </row>
    <row r="42" spans="1:32" x14ac:dyDescent="0.2">
      <c r="A42" s="13" t="s">
        <v>321</v>
      </c>
      <c r="B42" s="16"/>
      <c r="C42" s="16"/>
      <c r="D42" s="16"/>
      <c r="E42" s="16"/>
      <c r="F42" s="16"/>
      <c r="G42" s="16"/>
      <c r="H42" s="16"/>
      <c r="I42" s="16"/>
      <c r="J42" s="16"/>
      <c r="K42" s="16"/>
      <c r="L42" s="16"/>
      <c r="M42" s="16"/>
      <c r="N42" s="16"/>
      <c r="O42" s="16"/>
      <c r="P42" s="16"/>
      <c r="Q42" s="16"/>
      <c r="R42" s="16"/>
      <c r="S42" s="37">
        <v>7</v>
      </c>
      <c r="T42" s="16"/>
      <c r="U42" s="16"/>
      <c r="V42" s="16"/>
      <c r="W42" s="16"/>
      <c r="X42" s="47">
        <v>2.99</v>
      </c>
      <c r="Y42" s="37">
        <v>2.5</v>
      </c>
      <c r="Z42" s="16">
        <v>7.13</v>
      </c>
      <c r="AA42" s="69">
        <v>7.13</v>
      </c>
      <c r="AB42" s="21"/>
      <c r="AC42" s="78"/>
      <c r="AD42" s="81"/>
      <c r="AE42" s="75"/>
      <c r="AF42" s="16"/>
    </row>
    <row r="43" spans="1:32" x14ac:dyDescent="0.2">
      <c r="A43" s="13" t="s">
        <v>201</v>
      </c>
      <c r="B43" s="16"/>
      <c r="C43" s="16"/>
      <c r="D43" s="16"/>
      <c r="E43" s="16"/>
      <c r="F43" s="16"/>
      <c r="G43" s="16"/>
      <c r="H43" s="16"/>
      <c r="I43" s="16"/>
      <c r="J43" s="16"/>
      <c r="K43" s="16"/>
      <c r="L43" s="16"/>
      <c r="M43" s="16"/>
      <c r="N43" s="16"/>
      <c r="O43" s="16"/>
      <c r="P43" s="16"/>
      <c r="Q43" s="16"/>
      <c r="R43" s="16"/>
      <c r="S43" s="16"/>
      <c r="T43" s="16"/>
      <c r="U43" s="16"/>
      <c r="V43" s="16"/>
      <c r="W43" s="16"/>
      <c r="X43" s="47"/>
      <c r="Y43" s="19"/>
      <c r="Z43" s="16"/>
      <c r="AA43" s="69"/>
      <c r="AB43" s="84"/>
      <c r="AC43" s="18"/>
      <c r="AD43" s="85"/>
      <c r="AE43" s="75"/>
      <c r="AF43" s="16">
        <v>504</v>
      </c>
    </row>
    <row r="44" spans="1:32" ht="313.5" x14ac:dyDescent="0.2">
      <c r="A44" s="13" t="s">
        <v>116</v>
      </c>
      <c r="B44" s="105" t="s">
        <v>44</v>
      </c>
      <c r="C44" s="105"/>
      <c r="D44" s="105" t="s">
        <v>28</v>
      </c>
      <c r="E44" s="105"/>
      <c r="F44" s="105" t="s">
        <v>38</v>
      </c>
      <c r="G44" s="105"/>
      <c r="H44" s="105" t="s">
        <v>54</v>
      </c>
      <c r="I44" s="105"/>
      <c r="J44" s="102"/>
      <c r="K44" s="103"/>
      <c r="L44" s="14" t="s">
        <v>71</v>
      </c>
      <c r="M44" s="14" t="s">
        <v>91</v>
      </c>
      <c r="N44" s="14" t="s">
        <v>94</v>
      </c>
      <c r="O44" s="14" t="s">
        <v>192</v>
      </c>
      <c r="P44" s="14" t="s">
        <v>80</v>
      </c>
      <c r="Q44" s="14" t="s">
        <v>102</v>
      </c>
      <c r="R44" s="14" t="s">
        <v>66</v>
      </c>
      <c r="S44" s="14" t="s">
        <v>324</v>
      </c>
      <c r="T44" s="14" t="s">
        <v>323</v>
      </c>
      <c r="U44" s="14" t="s">
        <v>232</v>
      </c>
      <c r="V44" s="14" t="s">
        <v>241</v>
      </c>
      <c r="W44" s="14" t="s">
        <v>332</v>
      </c>
      <c r="X44" s="44"/>
      <c r="Y44" s="14" t="s">
        <v>331</v>
      </c>
      <c r="Z44" s="14" t="s">
        <v>329</v>
      </c>
      <c r="AA44" s="14" t="s">
        <v>354</v>
      </c>
      <c r="AB44" s="113" t="s">
        <v>355</v>
      </c>
      <c r="AC44" s="114"/>
      <c r="AD44" s="115"/>
      <c r="AE44" s="105" t="s">
        <v>202</v>
      </c>
      <c r="AF44" s="105"/>
    </row>
    <row r="45" spans="1:32" x14ac:dyDescent="0.2">
      <c r="AE45" s="106" t="s">
        <v>195</v>
      </c>
      <c r="AF45" s="106"/>
    </row>
  </sheetData>
  <mergeCells count="38">
    <mergeCell ref="AB3:AD3"/>
    <mergeCell ref="AE3:AF3"/>
    <mergeCell ref="B4:C4"/>
    <mergeCell ref="D4:E4"/>
    <mergeCell ref="F4:G4"/>
    <mergeCell ref="H4:I4"/>
    <mergeCell ref="J4:K4"/>
    <mergeCell ref="AB4:AD4"/>
    <mergeCell ref="AE4:AF4"/>
    <mergeCell ref="B3:C3"/>
    <mergeCell ref="D3:E3"/>
    <mergeCell ref="F3:G3"/>
    <mergeCell ref="H3:I3"/>
    <mergeCell ref="J3:K3"/>
    <mergeCell ref="AE44:AF44"/>
    <mergeCell ref="AE45:AF45"/>
    <mergeCell ref="B44:C44"/>
    <mergeCell ref="D44:E44"/>
    <mergeCell ref="F44:G44"/>
    <mergeCell ref="H44:I44"/>
    <mergeCell ref="AB44:AD44"/>
    <mergeCell ref="J44:K44"/>
    <mergeCell ref="H2:I2"/>
    <mergeCell ref="L1:O1"/>
    <mergeCell ref="P1:AA1"/>
    <mergeCell ref="AE2:AF2"/>
    <mergeCell ref="AE5:AF5"/>
    <mergeCell ref="J2:K2"/>
    <mergeCell ref="J5:K5"/>
    <mergeCell ref="B1:K1"/>
    <mergeCell ref="AE1:AF1"/>
    <mergeCell ref="B5:I5"/>
    <mergeCell ref="B2:C2"/>
    <mergeCell ref="D2:E2"/>
    <mergeCell ref="F2:G2"/>
    <mergeCell ref="AB1:AD1"/>
    <mergeCell ref="AB2:AD2"/>
    <mergeCell ref="AB5:AD5"/>
  </mergeCells>
  <phoneticPr fontId="9" type="noConversion"/>
  <pageMargins left="0.7" right="0.7" top="0.75" bottom="0.75" header="0.3" footer="0.3"/>
  <pageSetup paperSize="9" orientation="portrait" r:id="rId1"/>
  <legacyDrawing r:id="rId2"/>
</worksheet>
</file>

<file path=docMetadata/LabelInfo.xml><?xml version="1.0" encoding="utf-8"?>
<clbl:labelList xmlns:clbl="http://schemas.microsoft.com/office/2020/mipLabelMetadata">
  <clbl:label id="{7c14d9e5-93cd-47e1-9cd8-fd00404a29a8}" enabled="1" method="Standard" siteId="{c98df534-5e36-459a-ac3f-8c2e449863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总结建议</vt:lpstr>
      <vt:lpstr>市售产品</vt:lpstr>
      <vt:lpstr>营养成分对比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Jingjing Deng</dc:creator>
  <cp:lastModifiedBy>Jingjing Deng</cp:lastModifiedBy>
  <dcterms:created xsi:type="dcterms:W3CDTF">2015-06-05T18:17:20Z</dcterms:created>
  <dcterms:modified xsi:type="dcterms:W3CDTF">2026-06-24T05:56:20Z</dcterms:modified>
</cp:coreProperties>
</file>